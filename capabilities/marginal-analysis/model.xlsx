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292cde39249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a1104d043ad04fe7"/>
    <x:sheet xmlns:r="http://schemas.openxmlformats.org/officeDocument/2006/relationships" name="Cost Structure" sheetId="2" r:id="Re05dd1b403904640"/>
    <x:sheet xmlns:r="http://schemas.openxmlformats.org/officeDocument/2006/relationships" name="Marginal Cost" sheetId="3" r:id="R902278f288524fb7"/>
    <x:sheet xmlns:r="http://schemas.openxmlformats.org/officeDocument/2006/relationships" name="Optimization" sheetId="4" r:id="Rf315bec2309a47df"/>
    <x:sheet xmlns:r="http://schemas.openxmlformats.org/officeDocument/2006/relationships" name="Checks" sheetId="5" r:id="R98b105e52a364870"/>
  </x:sheets>
  <x:definedNames>
    <x:definedName name="WEEKS">'Inputs'!B4</x:definedName>
    <x:definedName name="FIXED_COST">'Inputs'!B5</x:definedName>
    <x:definedName name="TOTAL_BED_CAP">'Inputs'!B6</x:definedName>
    <x:definedName name="FARMER_HOURS">'Inputs'!B7</x:definedName>
    <x:definedName name="FARMER_RATE">'Inputs'!B8</x:definedName>
    <x:definedName name="TEMP_RATE">'Inputs'!B9</x:definedName>
    <x:definedName name="TEMP_HOURS_PER_WORKER">'Inputs'!B10</x:definedName>
    <x:definedName name="TEMP_WORKER_CAP">'Inputs'!B11</x:definedName>
    <x:definedName name="TOMATO_PRICE">'Inputs'!B12</x:definedName>
    <x:definedName name="TOMATO_HOURS">'Inputs'!B13</x:definedName>
    <x:definedName name="TOMATO_FERTILIZER">'Inputs'!B14</x:definedName>
    <x:definedName name="TOMATO_DIM">'Inputs'!B15</x:definedName>
    <x:definedName name="TOMATO_CAP">'Inputs'!B16</x:definedName>
    <x:definedName name="CARROT_PRICE">'Inputs'!B17</x:definedName>
    <x:definedName name="CARROT_HOURS">'Inputs'!B18</x:definedName>
    <x:definedName name="CARROT_FERTILIZER">'Inputs'!B19</x:definedName>
    <x:definedName name="CARROT_DIM">'Inputs'!B20</x:definedName>
    <x:definedName name="CARROT_CAP">'Inputs'!B21</x:definedName>
    <x:definedName name="MESCLUN_PRICE">'Inputs'!B22</x:definedName>
    <x:definedName name="MESCLUN_HOURS">'Inputs'!B23</x:definedName>
    <x:definedName name="MESCLUN_FERTILIZER">'Inputs'!B24</x:definedName>
    <x:definedName name="MESCLUN_DIM">'Inputs'!B25</x:definedName>
    <x:definedName name="MESCLUN_CAP">'Inputs'!B26</x:definedName>
    <x:definedName name="TOMATO_BEDS">'Optimization'!B6</x:definedName>
    <x:definedName name="CARROT_BEDS">'Optimization'!B7</x:definedName>
    <x:definedName name="MESCLUN_BEDS">'Optimization'!B8</x:definedName>
    <x:definedName name="TOTAL_BEDS">'Cost Structure'!B11</x:definedName>
    <x:definedName name="UNUSED_BEDS">'Cost Structure'!B12</x:definedName>
    <x:definedName name="TOTAL_LABOR">'Cost Structure'!B13</x:definedName>
    <x:definedName name="FARMER_HOURS_USED">'Cost Structure'!B14</x:definedName>
    <x:definedName name="TEMP_HOURS">'Cost Structure'!B15</x:definedName>
    <x:definedName name="TEMP_WORKERS">'Cost Structure'!B16</x:definedName>
    <x:definedName name="LABOR_COST">'Cost Structure'!B17</x:definedName>
    <x:definedName name="BLENDED_LABOR_RATE">'Cost Structure'!B18</x:definedName>
    <x:definedName name="FERTILIZER_COST">'Cost Structure'!B19</x:definedName>
    <x:definedName name="TOTAL_REVENUE">'Cost Structure'!B20</x:definedName>
    <x:definedName name="VARIABLE_COST">'Cost Structure'!B21</x:definedName>
    <x:definedName name="TOTAL_COST">'Cost Structure'!B23</x:definedName>
    <x:definedName name="PROFIT">'Cost Structure'!B24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"/>
    <x:numFmt numFmtId="201" formatCode="$#,##0.00"/>
    <x:numFmt numFmtId="202" formatCode="0.00%"/>
    <x:numFmt numFmtId="203" formatCode="0"/>
    <x:numFmt numFmtId="204" formatCode="#,##0.00"/>
    <x:numFmt numFmtId="205" formatCode="0.00"/>
    <x:numFmt numFmtId="206" formatCode="$#,##0"/>
  </x:numFmts>
  <x:fonts count="1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9C6500"/>
      <x:name val="Carlito"/>
    </x:font>
    <x:font>
      <x:b/>
      <x:sz val="11"/>
      <x:name val="Carlito"/>
    </x:font>
    <x:font>
      <x:b/>
      <x:sz val="11"/>
      <x:color rgb="FF17365D"/>
      <x:name val="Carlito"/>
    </x:font>
    <x:font>
      <x:sz val="11"/>
      <x:color rgb="FF7F6000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6"/>
      <x:color rgb="FFFFFFFF"/>
      <x:name val="Aptos Display"/>
    </x:font>
    <x:font>
      <x:b/>
      <x:sz val="10"/>
      <x:color rgb="FF17365D"/>
      <x:name val="Aptos"/>
    </x:font>
    <x:font>
      <x:i/>
      <x:sz val="10"/>
      <x:color rgb="FF666666"/>
      <x:name val="Aptos"/>
    </x:font>
    <x:font>
      <x:b/>
      <x:sz val="10"/>
      <x:color rgb="FF9C6500"/>
      <x:name val="Aptos"/>
    </x:font>
    <x:font>
      <x:b/>
      <x:sz val="10"/>
      <x:name val="Aptos"/>
    </x:font>
    <x:font>
      <x:sz val="10"/>
      <x:color rgb="FF7F6000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DF3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17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left style="thin">
        <x:color rgb="FFC9B458"/>
      </x:left>
      <x:top style="thin">
        <x:color rgb="FFC9B458"/>
      </x:top>
    </x:border>
    <x:border>
      <x:top style="thin">
        <x:color rgb="FFC9B458"/>
      </x:top>
    </x:border>
    <x:border>
      <x:right style="thin">
        <x:color rgb="FFC9B458"/>
      </x:right>
      <x:top style="thin">
        <x:color rgb="FFC9B458"/>
      </x:top>
    </x:border>
    <x:border>
      <x:left style="thin">
        <x:color rgb="FFC9B458"/>
      </x:left>
      <x:bottom style="thin">
        <x:color rgb="FFC9B458"/>
      </x:bottom>
    </x:border>
    <x:border>
      <x:bottom style="thin">
        <x:color rgb="FFC9B458"/>
      </x:bottom>
    </x:border>
    <x:border>
      <x:right style="thin">
        <x:color rgb="FFC9B458"/>
      </x:right>
      <x:bottom style="thin">
        <x:color rgb="FFC9B458"/>
      </x:bottom>
    </x:border>
  </x:borders>
  <x:cellStyleXfs count="1">
    <x:xf numFmtId="0" fontId="0" fillId="0" borderId="0"/>
  </x:cellStyleXfs>
  <x:cellXfs count="1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200" fontId="0" fillId="3" borderId="2" xfId="0" applyNumberFormat="1" applyFont="1" applyFill="1" applyBorder="1"/>
    <x:xf numFmtId="200" fontId="0" fillId="3" borderId="3" xfId="0" applyNumberFormat="1" applyFont="1" applyFill="1" applyBorder="1"/>
    <x:xf numFmtId="200" fontId="0" fillId="3" borderId="4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203" fontId="4" fillId="3" borderId="5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204" fontId="5" fillId="5" borderId="0" xfId="0" applyNumberFormat="1" applyFont="1" applyFill="1" applyBorder="1"/>
    <x:xf numFmtId="205" fontId="5" fillId="5" borderId="0" xfId="0" applyNumberFormat="1" applyFont="1" applyFill="1" applyBorder="1"/>
    <x:xf numFmtId="206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205" fontId="0" fillId="0" borderId="2" xfId="0" applyNumberFormat="1" applyFont="1" applyFill="1" applyBorder="1"/>
    <x:xf numFmtId="205" fontId="0" fillId="0" borderId="3" xfId="0" applyNumberFormat="1" applyFont="1" applyFill="1" applyBorder="1"/>
    <x:xf numFmtId="205" fontId="0" fillId="0" borderId="4" xfId="0" applyNumberFormat="1" applyFont="1" applyFill="1" applyBorder="1"/>
    <x:xf numFmtId="0" fontId="6" fillId="5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201" fontId="6" fillId="5" borderId="0" xfId="0" applyNumberFormat="1" applyFont="1" applyFill="1" applyBorder="1"/>
    <x:xf numFmtId="206" fontId="0" fillId="0" borderId="2" xfId="0" applyNumberFormat="1" applyFont="1" applyFill="1" applyBorder="1"/>
    <x:xf numFmtId="204" fontId="0" fillId="0" borderId="2" xfId="0" applyNumberFormat="1" applyFont="1" applyFill="1" applyBorder="1"/>
    <x:xf numFmtId="206" fontId="0" fillId="0" borderId="3" xfId="0" applyNumberFormat="1" applyFont="1" applyFill="1" applyBorder="1"/>
    <x:xf numFmtId="204" fontId="0" fillId="0" borderId="3" xfId="0" applyNumberFormat="1" applyFont="1" applyFill="1" applyBorder="1"/>
    <x:xf numFmtId="206" fontId="0" fillId="0" borderId="4" xfId="0" applyNumberFormat="1" applyFont="1" applyFill="1" applyBorder="1"/>
    <x:xf numFmtId="204" fontId="0" fillId="0" borderId="4" xfId="0" applyNumberFormat="1" applyFont="1" applyFill="1" applyBorder="1"/>
    <x:xf numFmtId="201" fontId="0" fillId="0" borderId="3" xfId="0" applyNumberFormat="1" applyFont="1" applyFill="1" applyBorder="1"/>
    <x:xf numFmtId="0" fontId="6" fillId="5" borderId="3" xfId="0" applyNumberFormat="1" applyFont="1" applyFill="1" applyBorder="1"/>
    <x:xf numFmtId="201" fontId="6" fillId="5" borderId="3" xfId="0" applyNumberFormat="1" applyFont="1" applyFill="1" applyBorder="1"/>
    <x:xf numFmtId="201" fontId="0" fillId="0" borderId="2" xfId="0" applyNumberFormat="1" applyFont="1" applyFill="1" applyBorder="1"/>
    <x:xf numFmtId="201" fontId="0" fillId="0" borderId="4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7" fillId="3" borderId="0" xfId="0" applyNumberFormat="1" applyFont="1" applyFill="1" applyBorder="1"/>
    <x:xf numFmtId="0" fontId="7" fillId="3" borderId="11" xfId="0" applyNumberFormat="1" applyFont="1" applyFill="1" applyBorder="1"/>
    <x:xf numFmtId="0" fontId="7" fillId="3" borderId="12" xfId="0" applyNumberFormat="1" applyFont="1" applyFill="1" applyBorder="1"/>
    <x:xf numFmtId="0" fontId="7" fillId="3" borderId="13" xfId="0" applyNumberFormat="1" applyFont="1" applyFill="1" applyBorder="1"/>
    <x:xf numFmtId="0" fontId="7" fillId="3" borderId="14" xfId="0" applyNumberFormat="1" applyFont="1" applyFill="1" applyBorder="1"/>
    <x:xf numFmtId="0" fontId="7" fillId="3" borderId="15" xfId="0" applyNumberFormat="1" applyFont="1" applyFill="1" applyBorder="1"/>
    <x:xf numFmtId="0" fontId="7" fillId="3" borderId="16" xfId="0" applyNumberFormat="1" applyFont="1" applyFill="1" applyBorder="1"/>
    <x:xf numFmtId="0" fontId="7" fillId="3" borderId="11" xfId="0" applyNumberFormat="1" applyFont="1" applyFill="1" applyBorder="1" applyAlignment="1">
      <x:alignment wrapText="1"/>
    </x:xf>
    <x:xf numFmtId="0" fontId="7" fillId="3" borderId="12" xfId="0" applyNumberFormat="1" applyFont="1" applyFill="1" applyBorder="1" applyAlignment="1">
      <x:alignment wrapText="1"/>
    </x:xf>
    <x:xf numFmtId="0" fontId="7" fillId="3" borderId="13" xfId="0" applyNumberFormat="1" applyFont="1" applyFill="1" applyBorder="1" applyAlignment="1">
      <x:alignment wrapText="1"/>
    </x:xf>
    <x:xf numFmtId="0" fontId="7" fillId="3" borderId="14" xfId="0" applyNumberFormat="1" applyFont="1" applyFill="1" applyBorder="1" applyAlignment="1">
      <x:alignment wrapText="1"/>
    </x:xf>
    <x:xf numFmtId="0" fontId="7" fillId="3" borderId="15" xfId="0" applyNumberFormat="1" applyFont="1" applyFill="1" applyBorder="1" applyAlignment="1">
      <x:alignment wrapText="1"/>
    </x:xf>
    <x:xf numFmtId="0" fontId="7" fillId="3" borderId="16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9" fillId="0" borderId="2" xfId="0" applyNumberFormat="1" applyFont="1" applyFill="1" applyBorder="1"/>
    <x:xf numFmtId="200" fontId="9" fillId="3" borderId="2" xfId="0" applyNumberFormat="1" applyFont="1" applyFill="1" applyBorder="1"/>
    <x:xf numFmtId="0" fontId="9" fillId="0" borderId="3" xfId="0" applyNumberFormat="1" applyFont="1" applyFill="1" applyBorder="1"/>
    <x:xf numFmtId="201" fontId="9" fillId="3" borderId="3" xfId="0" applyNumberFormat="1" applyFont="1" applyFill="1" applyBorder="1"/>
    <x:xf numFmtId="200" fontId="9" fillId="3" borderId="3" xfId="0" applyNumberFormat="1" applyFont="1" applyFill="1" applyBorder="1"/>
    <x:xf numFmtId="202" fontId="9" fillId="3" borderId="3" xfId="0" applyNumberFormat="1" applyFont="1" applyFill="1" applyBorder="1"/>
    <x:xf numFmtId="0" fontId="9" fillId="0" borderId="4" xfId="0" applyNumberFormat="1" applyFont="1" applyFill="1" applyBorder="1"/>
    <x:xf numFmtId="200" fontId="9" fillId="3" borderId="4" xfId="0" applyNumberFormat="1" applyFont="1" applyFill="1" applyBorder="1"/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8" fillId="2" borderId="1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vertical="center"/>
    </x:xf>
    <x:xf numFmtId="200" fontId="9" fillId="3" borderId="2" xfId="0" applyNumberFormat="1" applyFont="1" applyFill="1" applyBorder="1" applyAlignment="1">
      <x:alignment vertical="center"/>
    </x:xf>
    <x:xf numFmtId="0" fontId="9" fillId="0" borderId="3" xfId="0" applyNumberFormat="1" applyFont="1" applyFill="1" applyBorder="1" applyAlignment="1">
      <x:alignment vertical="center"/>
    </x:xf>
    <x:xf numFmtId="201" fontId="9" fillId="3" borderId="3" xfId="0" applyNumberFormat="1" applyFont="1" applyFill="1" applyBorder="1" applyAlignment="1">
      <x:alignment vertical="center"/>
    </x:xf>
    <x:xf numFmtId="200" fontId="9" fillId="3" borderId="3" xfId="0" applyNumberFormat="1" applyFont="1" applyFill="1" applyBorder="1" applyAlignment="1">
      <x:alignment vertical="center"/>
    </x:xf>
    <x:xf numFmtId="202" fontId="9" fillId="3" borderId="3" xfId="0" applyNumberFormat="1" applyFont="1" applyFill="1" applyBorder="1" applyAlignment="1">
      <x:alignment vertical="center"/>
    </x:xf>
    <x:xf numFmtId="0" fontId="9" fillId="0" borderId="4" xfId="0" applyNumberFormat="1" applyFont="1" applyFill="1" applyBorder="1" applyAlignment="1">
      <x:alignment vertical="center"/>
    </x:xf>
    <x:xf numFmtId="200" fontId="9" fillId="3" borderId="4" xfId="0" applyNumberFormat="1" applyFont="1" applyFill="1" applyBorder="1" applyAlignment="1">
      <x:alignment vertical="center"/>
    </x:xf>
    <x:xf numFmtId="206" fontId="9" fillId="0" borderId="2" xfId="0" applyNumberFormat="1" applyFont="1" applyFill="1" applyBorder="1"/>
    <x:xf numFmtId="204" fontId="9" fillId="0" borderId="2" xfId="0" applyNumberFormat="1" applyFont="1" applyFill="1" applyBorder="1"/>
    <x:xf numFmtId="206" fontId="9" fillId="0" borderId="3" xfId="0" applyNumberFormat="1" applyFont="1" applyFill="1" applyBorder="1"/>
    <x:xf numFmtId="204" fontId="9" fillId="0" borderId="3" xfId="0" applyNumberFormat="1" applyFont="1" applyFill="1" applyBorder="1"/>
    <x:xf numFmtId="206" fontId="9" fillId="0" borderId="4" xfId="0" applyNumberFormat="1" applyFont="1" applyFill="1" applyBorder="1"/>
    <x:xf numFmtId="204" fontId="9" fillId="0" borderId="4" xfId="0" applyNumberFormat="1" applyFont="1" applyFill="1" applyBorder="1"/>
    <x:xf numFmtId="0" fontId="11" fillId="6" borderId="6" xfId="0" applyNumberFormat="1" applyFont="1" applyFill="1" applyBorder="1"/>
    <x:xf numFmtId="0" fontId="11" fillId="6" borderId="7" xfId="0" applyNumberFormat="1" applyFont="1" applyFill="1" applyBorder="1"/>
    <x:xf numFmtId="0" fontId="11" fillId="6" borderId="8" xfId="0" applyNumberFormat="1" applyFont="1" applyFill="1" applyBorder="1"/>
    <x:xf numFmtId="205" fontId="9" fillId="0" borderId="3" xfId="0" applyNumberFormat="1" applyFont="1" applyFill="1" applyBorder="1"/>
    <x:xf numFmtId="201" fontId="9" fillId="0" borderId="3" xfId="0" applyNumberFormat="1" applyFont="1" applyFill="1" applyBorder="1"/>
    <x:xf numFmtId="0" fontId="11" fillId="5" borderId="3" xfId="0" applyNumberFormat="1" applyFont="1" applyFill="1" applyBorder="1"/>
    <x:xf numFmtId="201" fontId="11" fillId="5" borderId="3" xfId="0" applyNumberFormat="1" applyFont="1" applyFill="1" applyBorder="1"/>
    <x:xf numFmtId="205" fontId="9" fillId="0" borderId="4" xfId="0" applyNumberFormat="1" applyFont="1" applyFill="1" applyBorder="1"/>
    <x:xf numFmtId="206" fontId="9" fillId="0" borderId="2" xfId="0" applyNumberFormat="1" applyFont="1" applyFill="1" applyBorder="1" applyAlignment="1">
      <x:alignment vertical="center"/>
    </x:xf>
    <x:xf numFmtId="204" fontId="9" fillId="0" borderId="2" xfId="0" applyNumberFormat="1" applyFont="1" applyFill="1" applyBorder="1" applyAlignment="1">
      <x:alignment vertical="center"/>
    </x:xf>
    <x:xf numFmtId="206" fontId="9" fillId="0" borderId="3" xfId="0" applyNumberFormat="1" applyFont="1" applyFill="1" applyBorder="1" applyAlignment="1">
      <x:alignment vertical="center"/>
    </x:xf>
    <x:xf numFmtId="204" fontId="9" fillId="0" borderId="3" xfId="0" applyNumberFormat="1" applyFont="1" applyFill="1" applyBorder="1" applyAlignment="1">
      <x:alignment vertical="center"/>
    </x:xf>
    <x:xf numFmtId="206" fontId="9" fillId="0" borderId="4" xfId="0" applyNumberFormat="1" applyFont="1" applyFill="1" applyBorder="1" applyAlignment="1">
      <x:alignment vertical="center"/>
    </x:xf>
    <x:xf numFmtId="204" fontId="9" fillId="0" borderId="4" xfId="0" applyNumberFormat="1" applyFont="1" applyFill="1" applyBorder="1" applyAlignment="1">
      <x:alignment vertical="center"/>
    </x:xf>
    <x:xf numFmtId="0" fontId="11" fillId="6" borderId="6" xfId="0" applyNumberFormat="1" applyFont="1" applyFill="1" applyBorder="1" applyAlignment="1">
      <x:alignment vertical="center"/>
    </x:xf>
    <x:xf numFmtId="0" fontId="11" fillId="6" borderId="7" xfId="0" applyNumberFormat="1" applyFont="1" applyFill="1" applyBorder="1" applyAlignment="1">
      <x:alignment vertical="center"/>
    </x:xf>
    <x:xf numFmtId="0" fontId="11" fillId="6" borderId="8" xfId="0" applyNumberFormat="1" applyFont="1" applyFill="1" applyBorder="1" applyAlignment="1">
      <x:alignment vertical="center"/>
    </x:xf>
    <x:xf numFmtId="205" fontId="9" fillId="0" borderId="3" xfId="0" applyNumberFormat="1" applyFont="1" applyFill="1" applyBorder="1" applyAlignment="1">
      <x:alignment vertical="center"/>
    </x:xf>
    <x:xf numFmtId="201" fontId="9" fillId="0" borderId="3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201" fontId="11" fillId="5" borderId="3" xfId="0" applyNumberFormat="1" applyFont="1" applyFill="1" applyBorder="1" applyAlignment="1">
      <x:alignment vertical="center"/>
    </x:xf>
    <x:xf numFmtId="205" fontId="9" fillId="0" borderId="4" xfId="0" applyNumberFormat="1" applyFont="1" applyFill="1" applyBorder="1" applyAlignment="1">
      <x:alignment vertical="center"/>
    </x:xf>
    <x:xf numFmtId="201" fontId="9" fillId="0" borderId="2" xfId="0" applyNumberFormat="1" applyFont="1" applyFill="1" applyBorder="1"/>
    <x:xf numFmtId="201" fontId="9" fillId="0" borderId="4" xfId="0" applyNumberFormat="1" applyFont="1" applyFill="1" applyBorder="1"/>
    <x:xf numFmtId="201" fontId="9" fillId="0" borderId="2" xfId="0" applyNumberFormat="1" applyFont="1" applyFill="1" applyBorder="1" applyAlignment="1">
      <x:alignment vertical="center"/>
    </x:xf>
    <x:xf numFmtId="201" fontId="9" fillId="0" borderId="4" xfId="0" applyNumberFormat="1" applyFont="1" applyFill="1" applyBorder="1" applyAlignment="1">
      <x:alignment vertical="center"/>
    </x:xf>
    <x:xf numFmtId="0" fontId="12" fillId="4" borderId="0" xfId="0" applyNumberFormat="1" applyFont="1" applyFill="1" applyBorder="1" applyAlignment="1">
      <x:alignment wrapText="1"/>
    </x:xf>
    <x:xf numFmtId="203" fontId="13" fillId="3" borderId="5" xfId="0" applyNumberFormat="1" applyFont="1" applyFill="1" applyBorder="1"/>
    <x:xf numFmtId="0" fontId="14" fillId="5" borderId="0" xfId="0" applyNumberFormat="1" applyFont="1" applyFill="1" applyBorder="1"/>
    <x:xf numFmtId="204" fontId="14" fillId="5" borderId="0" xfId="0" applyNumberFormat="1" applyFont="1" applyFill="1" applyBorder="1"/>
    <x:xf numFmtId="205" fontId="14" fillId="5" borderId="0" xfId="0" applyNumberFormat="1" applyFont="1" applyFill="1" applyBorder="1"/>
    <x:xf numFmtId="206" fontId="14" fillId="5" borderId="0" xfId="0" applyNumberFormat="1" applyFont="1" applyFill="1" applyBorder="1"/>
    <x:xf numFmtId="205" fontId="9" fillId="0" borderId="2" xfId="0" applyNumberFormat="1" applyFont="1" applyFill="1" applyBorder="1"/>
    <x:xf numFmtId="0" fontId="12" fillId="4" borderId="0" xfId="0" applyNumberFormat="1" applyFont="1" applyFill="1" applyBorder="1" applyAlignment="1">
      <x:alignment vertical="center" wrapText="1"/>
    </x:xf>
    <x:xf numFmtId="203" fontId="13" fillId="3" borderId="5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/>
    </x:xf>
    <x:xf numFmtId="204" fontId="14" fillId="5" borderId="0" xfId="0" applyNumberFormat="1" applyFont="1" applyFill="1" applyBorder="1" applyAlignment="1">
      <x:alignment vertical="center"/>
    </x:xf>
    <x:xf numFmtId="205" fontId="14" fillId="5" borderId="0" xfId="0" applyNumberFormat="1" applyFont="1" applyFill="1" applyBorder="1" applyAlignment="1">
      <x:alignment vertical="center"/>
    </x:xf>
    <x:xf numFmtId="206" fontId="14" fillId="5" borderId="0" xfId="0" applyNumberFormat="1" applyFont="1" applyFill="1" applyBorder="1" applyAlignment="1">
      <x:alignment vertical="center"/>
    </x:xf>
    <x:xf numFmtId="205" fontId="9" fillId="0" borderId="2" xfId="0" applyNumberFormat="1" applyFont="1" applyFill="1" applyBorder="1" applyAlignment="1">
      <x:alignment vertical="center"/>
    </x:xf>
    <x:xf numFmtId="206" fontId="9" fillId="0" borderId="0" xfId="0" applyNumberFormat="1" applyFont="1" applyFill="1" applyBorder="1"/>
    <x:xf numFmtId="0" fontId="11" fillId="5" borderId="9" xfId="0" applyNumberFormat="1" applyFont="1" applyFill="1" applyBorder="1"/>
    <x:xf numFmtId="0" fontId="11" fillId="5" borderId="10" xfId="0" applyNumberFormat="1" applyFont="1" applyFill="1" applyBorder="1"/>
    <x:xf numFmtId="0" fontId="15" fillId="3" borderId="11" xfId="0" applyNumberFormat="1" applyFont="1" applyFill="1" applyBorder="1" applyAlignment="1">
      <x:alignment wrapText="1"/>
    </x:xf>
    <x:xf numFmtId="0" fontId="15" fillId="3" borderId="12" xfId="0" applyNumberFormat="1" applyFont="1" applyFill="1" applyBorder="1" applyAlignment="1">
      <x:alignment wrapText="1"/>
    </x:xf>
    <x:xf numFmtId="0" fontId="15" fillId="3" borderId="13" xfId="0" applyNumberFormat="1" applyFont="1" applyFill="1" applyBorder="1" applyAlignment="1">
      <x:alignment wrapText="1"/>
    </x:xf>
    <x:xf numFmtId="0" fontId="15" fillId="3" borderId="14" xfId="0" applyNumberFormat="1" applyFont="1" applyFill="1" applyBorder="1" applyAlignment="1">
      <x:alignment wrapText="1"/>
    </x:xf>
    <x:xf numFmtId="0" fontId="15" fillId="3" borderId="15" xfId="0" applyNumberFormat="1" applyFont="1" applyFill="1" applyBorder="1" applyAlignment="1">
      <x:alignment wrapText="1"/>
    </x:xf>
    <x:xf numFmtId="0" fontId="15" fillId="3" borderId="16" xfId="0" applyNumberFormat="1" applyFont="1" applyFill="1" applyBorder="1" applyAlignment="1">
      <x:alignment wrapText="1"/>
    </x:xf>
    <x:xf numFmtId="206" fontId="9" fillId="0" borderId="0" xfId="0" applyNumberFormat="1" applyFont="1" applyFill="1" applyBorder="1" applyAlignment="1">
      <x:alignment vertical="center"/>
    </x:xf>
    <x:xf numFmtId="0" fontId="11" fillId="5" borderId="9" xfId="0" applyNumberFormat="1" applyFont="1" applyFill="1" applyBorder="1" applyAlignment="1">
      <x:alignment vertical="center"/>
    </x:xf>
    <x:xf numFmtId="0" fontId="11" fillId="5" borderId="10" xfId="0" applyNumberFormat="1" applyFont="1" applyFill="1" applyBorder="1" applyAlignment="1">
      <x:alignment vertical="center"/>
    </x:xf>
    <x:xf numFmtId="0" fontId="15" fillId="3" borderId="11" xfId="0" applyNumberFormat="1" applyFont="1" applyFill="1" applyBorder="1" applyAlignment="1">
      <x:alignment vertical="center" wrapText="1"/>
    </x:xf>
    <x:xf numFmtId="0" fontId="15" fillId="3" borderId="12" xfId="0" applyNumberFormat="1" applyFont="1" applyFill="1" applyBorder="1" applyAlignment="1">
      <x:alignment vertical="center" wrapText="1"/>
    </x:xf>
    <x:xf numFmtId="0" fontId="15" fillId="3" borderId="13" xfId="0" applyNumberFormat="1" applyFont="1" applyFill="1" applyBorder="1" applyAlignment="1">
      <x:alignment vertical="center" wrapText="1"/>
    </x:xf>
    <x:xf numFmtId="0" fontId="15" fillId="3" borderId="14" xfId="0" applyNumberFormat="1" applyFont="1" applyFill="1" applyBorder="1" applyAlignment="1">
      <x:alignment vertical="center" wrapText="1"/>
    </x:xf>
    <x:xf numFmtId="0" fontId="15" fillId="3" borderId="15" xfId="0" applyNumberFormat="1" applyFont="1" applyFill="1" applyBorder="1" applyAlignment="1">
      <x:alignment vertical="center" wrapText="1"/>
    </x:xf>
    <x:xf numFmtId="0" fontId="15" fillId="3" borderId="1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e5552062cb4ba7" /><Relationship Type="http://schemas.openxmlformats.org/officeDocument/2006/relationships/theme" Target="/xl/theme/theme1.xml" Id="R6572311355b049ef" /><Relationship Type="http://schemas.openxmlformats.org/officeDocument/2006/relationships/sharedStrings" Target="/xl/sharedStrings.xml" Id="R346c21ac42214a34" /><Relationship Type="http://schemas.openxmlformats.org/officeDocument/2006/relationships/worksheet" Target="/xl/worksheets/sheet1.xml" Id="Ra1104d043ad04fe7" /><Relationship Type="http://schemas.openxmlformats.org/officeDocument/2006/relationships/worksheet" Target="/xl/worksheets/sheet2.xml" Id="Re05dd1b403904640" /><Relationship Type="http://schemas.openxmlformats.org/officeDocument/2006/relationships/worksheet" Target="/xl/worksheets/sheet3.xml" Id="R902278f288524fb7" /><Relationship Type="http://schemas.openxmlformats.org/officeDocument/2006/relationships/worksheet" Target="/xl/worksheets/sheet4.xml" Id="Rf315bec2309a47df" /><Relationship Type="http://schemas.openxmlformats.org/officeDocument/2006/relationships/worksheet" Target="/xl/worksheets/sheet5.xml" Id="R98b105e52a3648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22" hidden="0" customWidth="1"/>
    <x:col min="4" max="4" width="18" hidden="0" customWidth="1"/>
    <x:col min="5" max="5" width="12" hidden="0" customWidth="1"/>
  </x:cols>
  <x:sheetData>
    <x:row r="1" ht="28" customHeight="1">
      <x:c r="A1" s="81" t="str">
        <x:v>Perfect Competition Farm — Inputs</x:v>
      </x:c>
      <x:c r="B1" s="82"/>
      <x:c r="C1" s="82"/>
      <x:c r="D1" s="82"/>
      <x:c r="E1" s="82"/>
    </x:row>
    <x:row r="2">
      <x:c r="A2" s="83"/>
      <x:c r="B2" s="83"/>
      <x:c r="C2" s="83"/>
      <x:c r="D2" s="83"/>
      <x:c r="E2" s="83"/>
    </x:row>
    <x:row r="3">
      <x:c r="A3" s="84" t="str">
        <x:v>Named range</x:v>
      </x:c>
      <x:c r="B3" s="84" t="str">
        <x:v>Value</x:v>
      </x:c>
      <x:c r="C3" s="84" t="str">
        <x:v>Unit</x:v>
      </x:c>
      <x:c r="D3" s="84" t="str">
        <x:v>Source</x:v>
      </x:c>
      <x:c r="E3" s="84" t="str">
        <x:v>Role</x:v>
      </x:c>
    </x:row>
    <x:row r="4">
      <x:c r="A4" s="85" t="str">
        <x:v>WEEKS</x:v>
      </x:c>
      <x:c r="B4" s="86" t="n">
        <x:v>36</x:v>
      </x:c>
      <x:c r="C4" s="85" t="str">
        <x:v>weeks</x:v>
      </x:c>
      <x:c r="D4" s="85" t="str">
        <x:v>Case scenario</x:v>
      </x:c>
      <x:c r="E4" s="85" t="str">
        <x:v>Input</x:v>
      </x:c>
    </x:row>
    <x:row r="5">
      <x:c r="A5" s="87" t="str">
        <x:v>FIXED_COST</x:v>
      </x:c>
      <x:c r="B5" s="88" t="n">
        <x:v>20000</x:v>
      </x:c>
      <x:c r="C5" s="87" t="str">
        <x:v>dollars/season</x:v>
      </x:c>
      <x:c r="D5" s="87" t="str">
        <x:v>Case scenario</x:v>
      </x:c>
      <x:c r="E5" s="87" t="str">
        <x:v>Input</x:v>
      </x:c>
    </x:row>
    <x:row r="6">
      <x:c r="A6" s="87" t="str">
        <x:v>TOTAL_BED_CAP</x:v>
      </x:c>
      <x:c r="B6" s="89" t="n">
        <x:v>64</x:v>
      </x:c>
      <x:c r="C6" s="87" t="str">
        <x:v>beds</x:v>
      </x:c>
      <x:c r="D6" s="87" t="str">
        <x:v>Case scenario</x:v>
      </x:c>
      <x:c r="E6" s="87" t="str">
        <x:v>Input</x:v>
      </x:c>
    </x:row>
    <x:row r="7">
      <x:c r="A7" s="87" t="str">
        <x:v>FARMER_HOURS</x:v>
      </x:c>
      <x:c r="B7" s="89" t="n">
        <x:v>720</x:v>
      </x:c>
      <x:c r="C7" s="87" t="str">
        <x:v>hours</x:v>
      </x:c>
      <x:c r="D7" s="87" t="str">
        <x:v>Case scenario</x:v>
      </x:c>
      <x:c r="E7" s="87" t="str">
        <x:v>Input</x:v>
      </x:c>
    </x:row>
    <x:row r="8">
      <x:c r="A8" s="87" t="str">
        <x:v>FARMER_RATE</x:v>
      </x:c>
      <x:c r="B8" s="88" t="n">
        <x:v>34.72</x:v>
      </x:c>
      <x:c r="C8" s="87" t="str">
        <x:v>dollars/hour</x:v>
      </x:c>
      <x:c r="D8" s="87" t="str">
        <x:v>Case scenario</x:v>
      </x:c>
      <x:c r="E8" s="87" t="str">
        <x:v>Input</x:v>
      </x:c>
    </x:row>
    <x:row r="9">
      <x:c r="A9" s="87" t="str">
        <x:v>TEMP_RATE</x:v>
      </x:c>
      <x:c r="B9" s="88" t="n">
        <x:v>17.36</x:v>
      </x:c>
      <x:c r="C9" s="87" t="str">
        <x:v>dollars/hour</x:v>
      </x:c>
      <x:c r="D9" s="87" t="str">
        <x:v>Case scenario</x:v>
      </x:c>
      <x:c r="E9" s="87" t="str">
        <x:v>Input</x:v>
      </x:c>
    </x:row>
    <x:row r="10">
      <x:c r="A10" s="87" t="str">
        <x:v>TEMP_HOURS_PER_WORKER</x:v>
      </x:c>
      <x:c r="B10" s="89" t="n">
        <x:v>1440</x:v>
      </x:c>
      <x:c r="C10" s="87" t="str">
        <x:v>hours/worker</x:v>
      </x:c>
      <x:c r="D10" s="87" t="str">
        <x:v>Case scenario</x:v>
      </x:c>
      <x:c r="E10" s="87" t="str">
        <x:v>Input</x:v>
      </x:c>
    </x:row>
    <x:row r="11">
      <x:c r="A11" s="87" t="str">
        <x:v>TEMP_WORKER_CAP</x:v>
      </x:c>
      <x:c r="B11" s="89" t="n">
        <x:v>4</x:v>
      </x:c>
      <x:c r="C11" s="87" t="str">
        <x:v>workers</x:v>
      </x:c>
      <x:c r="D11" s="87" t="str">
        <x:v>Case scenario</x:v>
      </x:c>
      <x:c r="E11" s="87" t="str">
        <x:v>Input</x:v>
      </x:c>
    </x:row>
    <x:row r="12">
      <x:c r="A12" s="87" t="str">
        <x:v>TOMATO_PRICE</x:v>
      </x:c>
      <x:c r="B12" s="88" t="n">
        <x:v>8800</x:v>
      </x:c>
      <x:c r="C12" s="87" t="str">
        <x:v>dollars/bed</x:v>
      </x:c>
      <x:c r="D12" s="87" t="str">
        <x:v>Case scenario</x:v>
      </x:c>
      <x:c r="E12" s="87" t="str">
        <x:v>Input</x:v>
      </x:c>
    </x:row>
    <x:row r="13">
      <x:c r="A13" s="87" t="str">
        <x:v>TOMATO_HOURS</x:v>
      </x:c>
      <x:c r="B13" s="89" t="n">
        <x:v>2.5</x:v>
      </x:c>
      <x:c r="C13" s="87" t="str">
        <x:v>hours/week/bed</x:v>
      </x:c>
      <x:c r="D13" s="87" t="str">
        <x:v>Case scenario</x:v>
      </x:c>
      <x:c r="E13" s="87" t="str">
        <x:v>Input</x:v>
      </x:c>
    </x:row>
    <x:row r="14">
      <x:c r="A14" s="87" t="str">
        <x:v>TOMATO_FERTILIZER</x:v>
      </x:c>
      <x:c r="B14" s="88" t="n">
        <x:v>880</x:v>
      </x:c>
      <x:c r="C14" s="87" t="str">
        <x:v>dollars/bed</x:v>
      </x:c>
      <x:c r="D14" s="87" t="str">
        <x:v>Case scenario</x:v>
      </x:c>
      <x:c r="E14" s="87" t="str">
        <x:v>Input</x:v>
      </x:c>
    </x:row>
    <x:row r="15">
      <x:c r="A15" s="87" t="str">
        <x:v>TOMATO_DIM</x:v>
      </x:c>
      <x:c r="B15" s="90" t="n">
        <x:v>0.1</x:v>
      </x:c>
      <x:c r="C15" s="87" t="str">
        <x:v>per additional bed</x:v>
      </x:c>
      <x:c r="D15" s="87" t="str">
        <x:v>Case scenario</x:v>
      </x:c>
      <x:c r="E15" s="87" t="str">
        <x:v>Input</x:v>
      </x:c>
    </x:row>
    <x:row r="16">
      <x:c r="A16" s="87" t="str">
        <x:v>TOMATO_CAP</x:v>
      </x:c>
      <x:c r="B16" s="89" t="n">
        <x:v>20</x:v>
      </x:c>
      <x:c r="C16" s="87" t="str">
        <x:v>beds</x:v>
      </x:c>
      <x:c r="D16" s="87" t="str">
        <x:v>Case scenario</x:v>
      </x:c>
      <x:c r="E16" s="87" t="str">
        <x:v>Input</x:v>
      </x:c>
    </x:row>
    <x:row r="17">
      <x:c r="A17" s="87" t="str">
        <x:v>CARROT_PRICE</x:v>
      </x:c>
      <x:c r="B17" s="88" t="n">
        <x:v>2094</x:v>
      </x:c>
      <x:c r="C17" s="87" t="str">
        <x:v>dollars/bed</x:v>
      </x:c>
      <x:c r="D17" s="87" t="str">
        <x:v>Case scenario</x:v>
      </x:c>
      <x:c r="E17" s="87" t="str">
        <x:v>Input</x:v>
      </x:c>
    </x:row>
    <x:row r="18">
      <x:c r="A18" s="87" t="str">
        <x:v>CARROT_HOURS</x:v>
      </x:c>
      <x:c r="B18" s="89" t="n">
        <x:v>0.833</x:v>
      </x:c>
      <x:c r="C18" s="87" t="str">
        <x:v>hours/week/bed</x:v>
      </x:c>
      <x:c r="D18" s="87" t="str">
        <x:v>Case scenario</x:v>
      </x:c>
      <x:c r="E18" s="87" t="str">
        <x:v>Input</x:v>
      </x:c>
    </x:row>
    <x:row r="19">
      <x:c r="A19" s="87" t="str">
        <x:v>CARROT_FERTILIZER</x:v>
      </x:c>
      <x:c r="B19" s="88" t="n">
        <x:v>440</x:v>
      </x:c>
      <x:c r="C19" s="87" t="str">
        <x:v>dollars/bed</x:v>
      </x:c>
      <x:c r="D19" s="87" t="str">
        <x:v>Case scenario</x:v>
      </x:c>
      <x:c r="E19" s="87" t="str">
        <x:v>Input</x:v>
      </x:c>
    </x:row>
    <x:row r="20">
      <x:c r="A20" s="87" t="str">
        <x:v>CARROT_DIM</x:v>
      </x:c>
      <x:c r="B20" s="90" t="n">
        <x:v>0.025</x:v>
      </x:c>
      <x:c r="C20" s="87" t="str">
        <x:v>per additional bed</x:v>
      </x:c>
      <x:c r="D20" s="87" t="str">
        <x:v>Case scenario</x:v>
      </x:c>
      <x:c r="E20" s="87" t="str">
        <x:v>Input</x:v>
      </x:c>
    </x:row>
    <x:row r="21">
      <x:c r="A21" s="87" t="str">
        <x:v>CARROT_CAP</x:v>
      </x:c>
      <x:c r="B21" s="89" t="n">
        <x:v>20</x:v>
      </x:c>
      <x:c r="C21" s="87" t="str">
        <x:v>beds</x:v>
      </x:c>
      <x:c r="D21" s="87" t="str">
        <x:v>Case scenario</x:v>
      </x:c>
      <x:c r="E21" s="87" t="str">
        <x:v>Input</x:v>
      </x:c>
    </x:row>
    <x:row r="22">
      <x:c r="A22" s="87" t="str">
        <x:v>MESCLUN_PRICE</x:v>
      </x:c>
      <x:c r="B22" s="88" t="n">
        <x:v>2700</x:v>
      </x:c>
      <x:c r="C22" s="87" t="str">
        <x:v>dollars/bed</x:v>
      </x:c>
      <x:c r="D22" s="87" t="str">
        <x:v>Case scenario</x:v>
      </x:c>
      <x:c r="E22" s="87" t="str">
        <x:v>Input</x:v>
      </x:c>
    </x:row>
    <x:row r="23">
      <x:c r="A23" s="87" t="str">
        <x:v>MESCLUN_HOURS</x:v>
      </x:c>
      <x:c r="B23" s="89" t="n">
        <x:v>1.25</x:v>
      </x:c>
      <x:c r="C23" s="87" t="str">
        <x:v>hours/week/bed</x:v>
      </x:c>
      <x:c r="D23" s="87" t="str">
        <x:v>Case scenario</x:v>
      </x:c>
      <x:c r="E23" s="87" t="str">
        <x:v>Input</x:v>
      </x:c>
    </x:row>
    <x:row r="24">
      <x:c r="A24" s="87" t="str">
        <x:v>MESCLUN_FERTILIZER</x:v>
      </x:c>
      <x:c r="B24" s="88" t="n">
        <x:v>880</x:v>
      </x:c>
      <x:c r="C24" s="87" t="str">
        <x:v>dollars/bed</x:v>
      </x:c>
      <x:c r="D24" s="87" t="str">
        <x:v>Case scenario</x:v>
      </x:c>
      <x:c r="E24" s="87" t="str">
        <x:v>Input</x:v>
      </x:c>
    </x:row>
    <x:row r="25">
      <x:c r="A25" s="87" t="str">
        <x:v>MESCLUN_DIM</x:v>
      </x:c>
      <x:c r="B25" s="90" t="n">
        <x:v>0.0125</x:v>
      </x:c>
      <x:c r="C25" s="87" t="str">
        <x:v>per additional bed</x:v>
      </x:c>
      <x:c r="D25" s="87" t="str">
        <x:v>Case scenario</x:v>
      </x:c>
      <x:c r="E25" s="87" t="str">
        <x:v>Input</x:v>
      </x:c>
    </x:row>
    <x:row r="26">
      <x:c r="A26" s="91" t="str">
        <x:v>MESCLUN_CAP</x:v>
      </x:c>
      <x:c r="B26" s="92" t="n">
        <x:v>30</x:v>
      </x:c>
      <x:c r="C26" s="91" t="str">
        <x:v>beds</x:v>
      </x:c>
      <x:c r="D26" s="91" t="str">
        <x:v>Case scenario</x:v>
      </x:c>
      <x:c r="E26" s="91" t="str">
        <x:v>Input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5" hidden="0" customWidth="1"/>
    <x:col min="8" max="8" width="16" hidden="0" customWidth="1"/>
  </x:cols>
  <x:sheetData>
    <x:row r="1" ht="28" customHeight="1">
      <x:c r="A1" s="81" t="str">
        <x:v>Cost Structure — Formula-Driven Farm Economics</x:v>
      </x:c>
      <x:c r="B1" s="82"/>
      <x:c r="C1" s="82"/>
      <x:c r="D1" s="82"/>
      <x:c r="E1" s="82"/>
      <x:c r="F1" s="82"/>
      <x:c r="G1" s="82"/>
      <x:c r="H1" s="82"/>
    </x:row>
    <x:row r="2">
      <x:c r="A2" s="83"/>
      <x:c r="B2" s="83"/>
      <x:c r="C2" s="83"/>
      <x:c r="D2" s="83"/>
      <x:c r="E2" s="83"/>
      <x:c r="F2" s="83"/>
      <x:c r="G2" s="83"/>
      <x:c r="H2" s="83"/>
    </x:row>
    <x:row r="3">
      <x:c r="A3" s="84" t="str">
        <x:v>Crop</x:v>
      </x:c>
      <x:c r="B3" s="84" t="str">
        <x:v>Beds</x:v>
      </x:c>
      <x:c r="C3" s="84" t="str">
        <x:v>Revenue</x:v>
      </x:c>
      <x:c r="D3" s="84" t="str">
        <x:v>Labor hours</x:v>
      </x:c>
      <x:c r="E3" s="84" t="str">
        <x:v>Labor cost</x:v>
      </x:c>
      <x:c r="F3" s="84" t="str">
        <x:v>Fertilizer</x:v>
      </x:c>
      <x:c r="G3" s="84" t="str">
        <x:v>Current MC</x:v>
      </x:c>
      <x:c r="H3" s="84" t="str">
        <x:v>Price − MC</x:v>
      </x:c>
    </x:row>
    <x:row r="4">
      <x:c r="A4" s="85" t="str">
        <x:v>Tomatoes</x:v>
      </x:c>
      <x:c r="B4" s="85" t="n">
        <x:f>TOMATO_BEDS</x:f>
        <x:v>10</x:v>
      </x:c>
      <x:c r="C4" s="107" t="n">
        <x:f>B4*TOMATO_PRICE</x:f>
        <x:v>88000</x:v>
      </x:c>
      <x:c r="D4" s="108" t="n">
        <x:f>B4*TOMATO_HOURS*WEEKS*(1+TOMATO_DIM)^B4</x:f>
        <x:v>2334.368214090002</x:v>
      </x:c>
      <x:c r="E4" s="107" t="n">
        <x:f>D4*BLENDED_LABOR_RATE</x:f>
        <x:v>46054.04563936308</x:v>
      </x:c>
      <x:c r="F4" s="107" t="n">
        <x:f>B4*TOMATO_FERTILIZER</x:f>
        <x:v>8800</x:v>
      </x:c>
      <x:c r="G4" s="107" t="n">
        <x:f>IF(B4=0,"",INDEX('Marginal Cost'!$E$6:$E$26,MATCH(B4,'Marginal Cost'!$A$6:$A$26,0)))</x:f>
        <x:v>8248.114944836801</x:v>
      </x:c>
      <x:c r="H4" s="107" t="n">
        <x:f>IF(G4="","",TOMATO_PRICE-G4)</x:f>
        <x:v>551.8850551631986</x:v>
      </x:c>
    </x:row>
    <x:row r="5">
      <x:c r="A5" s="87" t="str">
        <x:v>Carrots</x:v>
      </x:c>
      <x:c r="B5" s="87" t="n">
        <x:f>CARROT_BEDS</x:f>
        <x:v>20</x:v>
      </x:c>
      <x:c r="C5" s="109" t="n">
        <x:f>B5*CARROT_PRICE</x:f>
        <x:v>41880</x:v>
      </x:c>
      <x:c r="D5" s="110" t="n">
        <x:f>B5*CARROT_HOURS*WEEKS*(1+CARROT_DIM)^B5</x:f>
        <x:v>982.7765962285669</x:v>
      </x:c>
      <x:c r="E5" s="109" t="n">
        <x:f>D5*BLENDED_LABOR_RATE</x:f>
        <x:v>19388.902720152993</x:v>
      </x:c>
      <x:c r="F5" s="109" t="n">
        <x:f>B5*CARROT_FERTILIZER</x:f>
        <x:v>8800</x:v>
      </x:c>
      <x:c r="G5" s="109" t="n">
        <x:f>IF(B5=0,"",INDEX('Marginal Cost'!$L$6:$L$26,MATCH(B5,'Marginal Cost'!$H$6:$H$26,0)))</x:f>
        <x:v>1688.3659788191144</x:v>
      </x:c>
      <x:c r="H5" s="109" t="n">
        <x:f>IF(G5="","",CARROT_PRICE-G5)</x:f>
        <x:v>405.6340211808856</x:v>
      </x:c>
    </x:row>
    <x:row r="6">
      <x:c r="A6" s="91" t="str">
        <x:v>Mesclun</x:v>
      </x:c>
      <x:c r="B6" s="91" t="n">
        <x:f>MESCLUN_BEDS</x:f>
        <x:v>30</x:v>
      </x:c>
      <x:c r="C6" s="111" t="n">
        <x:f>B6*MESCLUN_PRICE</x:f>
        <x:v>81000</x:v>
      </x:c>
      <x:c r="D6" s="112" t="n">
        <x:f>B6*MESCLUN_HOURS*WEEKS*(1+MESCLUN_DIM)^B6</x:f>
        <x:v>1959.6780360096466</x:v>
      </x:c>
      <x:c r="E6" s="111" t="n">
        <x:f>D6*BLENDED_LABOR_RATE</x:f>
        <x:v>38661.89625274174</x:v>
      </x:c>
      <x:c r="F6" s="111" t="n">
        <x:f>B6*MESCLUN_FERTILIZER</x:f>
        <x:v>26400</x:v>
      </x:c>
      <x:c r="G6" s="111" t="n">
        <x:f>IF(B6=0,"",INDEX('Marginal Cost'!$S$6:$S$36,MATCH(B6,'Marginal Cost'!$O$6:$O$36,0)))</x:f>
        <x:v>2420.000484594246</x:v>
      </x:c>
      <x:c r="H6" s="111" t="n">
        <x:f>IF(G6="","",MESCLUN_PRICE-G6)</x:f>
        <x:v>279.9995154057542</x:v>
      </x:c>
    </x:row>
    <x:row r="7">
      <x:c r="A7" s="83"/>
      <x:c r="B7" s="83"/>
      <x:c r="C7" s="83"/>
      <x:c r="D7" s="83"/>
      <x:c r="E7" s="83"/>
      <x:c r="F7" s="83"/>
      <x:c r="G7" s="83"/>
      <x:c r="H7" s="83"/>
    </x:row>
    <x:row r="8">
      <x:c r="A8" s="113" t="str">
        <x:v>Farm totals and objective</x:v>
      </x:c>
      <x:c r="B8" s="114"/>
      <x:c r="C8" s="114"/>
      <x:c r="D8" s="114"/>
      <x:c r="E8" s="115"/>
      <x:c r="F8" s="83"/>
      <x:c r="G8" s="83"/>
      <x:c r="H8" s="83"/>
    </x:row>
    <x:row r="9">
      <x:c r="A9" s="83"/>
      <x:c r="B9" s="83"/>
      <x:c r="C9" s="83"/>
      <x:c r="D9" s="83"/>
      <x:c r="E9" s="83"/>
      <x:c r="F9" s="83"/>
      <x:c r="G9" s="83"/>
      <x:c r="H9" s="83"/>
    </x:row>
    <x:row r="10">
      <x:c r="A10" s="84" t="str">
        <x:v>Metric</x:v>
      </x:c>
      <x:c r="B10" s="84" t="str">
        <x:v>Formula result</x:v>
      </x:c>
      <x:c r="C10" s="83"/>
      <x:c r="D10" s="83"/>
      <x:c r="E10" s="83"/>
      <x:c r="F10" s="83"/>
      <x:c r="G10" s="83"/>
      <x:c r="H10" s="83"/>
    </x:row>
    <x:row r="11">
      <x:c r="A11" s="85" t="str">
        <x:v>TOTAL_BEDS</x:v>
      </x:c>
      <x:c r="B11" s="85" t="n">
        <x:f>SUM(B4:B6)</x:f>
        <x:v>60</x:v>
      </x:c>
      <x:c r="C11" s="83"/>
      <x:c r="D11" s="83"/>
      <x:c r="E11" s="83"/>
      <x:c r="F11" s="83"/>
      <x:c r="G11" s="83"/>
      <x:c r="H11" s="83"/>
    </x:row>
    <x:row r="12">
      <x:c r="A12" s="87" t="str">
        <x:v>UNUSED_BEDS</x:v>
      </x:c>
      <x:c r="B12" s="87" t="n">
        <x:f>TOTAL_BED_CAP-B11</x:f>
        <x:v>4</x:v>
      </x:c>
      <x:c r="C12" s="83"/>
      <x:c r="D12" s="83"/>
      <x:c r="E12" s="83"/>
      <x:c r="F12" s="83"/>
      <x:c r="G12" s="83"/>
      <x:c r="H12" s="83"/>
    </x:row>
    <x:row r="13">
      <x:c r="A13" s="87" t="str">
        <x:v>TOTAL_LABOR</x:v>
      </x:c>
      <x:c r="B13" s="110" t="n">
        <x:f>SUM(D4:D6)</x:f>
        <x:v>5276.822846328215</x:v>
      </x:c>
      <x:c r="C13" s="83"/>
      <x:c r="D13" s="83"/>
      <x:c r="E13" s="83"/>
      <x:c r="F13" s="83"/>
      <x:c r="G13" s="83"/>
      <x:c r="H13" s="83"/>
    </x:row>
    <x:row r="14">
      <x:c r="A14" s="87" t="str">
        <x:v>FARMER_HOURS_USED</x:v>
      </x:c>
      <x:c r="B14" s="110" t="n">
        <x:f>MIN(B13,FARMER_HOURS)</x:f>
        <x:v>720</x:v>
      </x:c>
      <x:c r="C14" s="83"/>
      <x:c r="D14" s="83"/>
      <x:c r="E14" s="83"/>
      <x:c r="F14" s="83"/>
      <x:c r="G14" s="83"/>
      <x:c r="H14" s="83"/>
    </x:row>
    <x:row r="15">
      <x:c r="A15" s="87" t="str">
        <x:v>TEMP_HOURS</x:v>
      </x:c>
      <x:c r="B15" s="110" t="n">
        <x:f>MAX(B13-FARMER_HOURS,0)</x:f>
        <x:v>4556.822846328215</x:v>
      </x:c>
      <x:c r="C15" s="83"/>
      <x:c r="D15" s="83"/>
      <x:c r="E15" s="83"/>
      <x:c r="F15" s="83"/>
      <x:c r="G15" s="83"/>
      <x:c r="H15" s="83"/>
    </x:row>
    <x:row r="16">
      <x:c r="A16" s="87" t="str">
        <x:v>TEMP_WORKERS</x:v>
      </x:c>
      <x:c r="B16" s="116" t="n">
        <x:f>B15/TEMP_HOURS_PER_WORKER</x:f>
        <x:v>3.164460309950149</x:v>
      </x:c>
      <x:c r="C16" s="83"/>
      <x:c r="D16" s="83"/>
      <x:c r="E16" s="83"/>
      <x:c r="F16" s="83"/>
      <x:c r="G16" s="83"/>
      <x:c r="H16" s="83"/>
    </x:row>
    <x:row r="17">
      <x:c r="A17" s="87" t="str">
        <x:v>LABOR_COST</x:v>
      </x:c>
      <x:c r="B17" s="117" t="n">
        <x:f>B14*FARMER_RATE+B15*TEMP_RATE</x:f>
        <x:v>104104.8446122578</x:v>
      </x:c>
      <x:c r="C17" s="83"/>
      <x:c r="D17" s="83"/>
      <x:c r="E17" s="83"/>
      <x:c r="F17" s="83"/>
      <x:c r="G17" s="83"/>
      <x:c r="H17" s="83"/>
    </x:row>
    <x:row r="18">
      <x:c r="A18" s="87" t="str">
        <x:v>BLENDED_LABOR_RATE</x:v>
      </x:c>
      <x:c r="B18" s="117" t="n">
        <x:f>IF(B13=0,0,B17/B13)</x:f>
        <x:v>19.72869805259757</x:v>
      </x:c>
      <x:c r="C18" s="83"/>
      <x:c r="D18" s="83"/>
      <x:c r="E18" s="83"/>
      <x:c r="F18" s="83"/>
      <x:c r="G18" s="83"/>
      <x:c r="H18" s="83"/>
    </x:row>
    <x:row r="19">
      <x:c r="A19" s="87" t="str">
        <x:v>FERTILIZER_COST</x:v>
      </x:c>
      <x:c r="B19" s="117" t="n">
        <x:f>SUM(F4:F6)</x:f>
        <x:v>44000</x:v>
      </x:c>
      <x:c r="C19" s="83"/>
      <x:c r="D19" s="83"/>
      <x:c r="E19" s="83"/>
      <x:c r="F19" s="83"/>
      <x:c r="G19" s="83"/>
      <x:c r="H19" s="83"/>
    </x:row>
    <x:row r="20">
      <x:c r="A20" s="87" t="str">
        <x:v>TOTAL_REVENUE</x:v>
      </x:c>
      <x:c r="B20" s="117" t="n">
        <x:f>SUM(C4:C6)</x:f>
        <x:v>210880</x:v>
      </x:c>
      <x:c r="C20" s="83"/>
      <x:c r="D20" s="83"/>
      <x:c r="E20" s="83"/>
      <x:c r="F20" s="83"/>
      <x:c r="G20" s="83"/>
      <x:c r="H20" s="83"/>
    </x:row>
    <x:row r="21">
      <x:c r="A21" s="87" t="str">
        <x:v>VARIABLE_COST</x:v>
      </x:c>
      <x:c r="B21" s="117" t="n">
        <x:f>B17+B19</x:f>
        <x:v>148104.8446122578</x:v>
      </x:c>
      <x:c r="C21" s="83"/>
      <x:c r="D21" s="83"/>
      <x:c r="E21" s="83"/>
      <x:c r="F21" s="83"/>
      <x:c r="G21" s="83"/>
      <x:c r="H21" s="83"/>
    </x:row>
    <x:row r="22">
      <x:c r="A22" s="87" t="str">
        <x:v>FIXED_COST</x:v>
      </x:c>
      <x:c r="B22" s="117" t="n">
        <x:f>FIXED_COST</x:f>
        <x:v>20000</x:v>
      </x:c>
      <x:c r="C22" s="83"/>
      <x:c r="D22" s="83"/>
      <x:c r="E22" s="83"/>
      <x:c r="F22" s="83"/>
      <x:c r="G22" s="83"/>
      <x:c r="H22" s="83"/>
    </x:row>
    <x:row r="23">
      <x:c r="A23" s="118" t="str">
        <x:v>TOTAL_COST</x:v>
      </x:c>
      <x:c r="B23" s="119" t="n">
        <x:f>B21+B22</x:f>
        <x:v>168104.8446122578</x:v>
      </x:c>
      <x:c r="C23" s="83"/>
      <x:c r="D23" s="83"/>
      <x:c r="E23" s="83"/>
      <x:c r="F23" s="83"/>
      <x:c r="G23" s="83"/>
      <x:c r="H23" s="83"/>
    </x:row>
    <x:row r="24">
      <x:c r="A24" s="118" t="str">
        <x:v>PROFIT</x:v>
      </x:c>
      <x:c r="B24" s="119" t="n">
        <x:f>B20-B23</x:f>
        <x:v>42775.15538774221</x:v>
      </x:c>
      <x:c r="C24" s="83"/>
      <x:c r="D24" s="83"/>
      <x:c r="E24" s="83"/>
      <x:c r="F24" s="83"/>
      <x:c r="G24" s="83"/>
      <x:c r="H24" s="83"/>
    </x:row>
    <x:row r="25">
      <x:c r="A25" s="91" t="str">
        <x:v>Labor allocation check</x:v>
      </x:c>
      <x:c r="B25" s="120" t="n">
        <x:f>SUM(E4:E6)-B17</x:f>
        <x:v>1.4551915228366852e-11</x:v>
      </x:c>
      <x:c r="C25" s="83"/>
      <x:c r="D25" s="83"/>
      <x:c r="E25" s="83"/>
      <x:c r="F25" s="83"/>
      <x:c r="G25" s="83"/>
      <x:c r="H25" s="83"/>
    </x:row>
  </x:sheetData>
  <x:mergeCells>
    <x:mergeCell ref="A1:H1"/>
    <x:mergeCell ref="A8:E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2" hidden="0" customWidth="1"/>
    <x:col min="8" max="8" width="8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2" hidden="0" customWidth="1"/>
    <x:col min="15" max="15" width="8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2" hidden="0" customWidth="1"/>
  </x:cols>
  <x:sheetData>
    <x:row r="1" ht="28" customHeight="1">
      <x:c r="A1" s="81" t="str">
        <x:v>Standalone Marginal-Cost Schedules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  <x:c r="P1" s="82"/>
      <x:c r="Q1" s="82"/>
      <x:c r="R1" s="82"/>
      <x:c r="S1" s="82"/>
      <x:c r="T1" s="82"/>
      <x:c r="U1" s="82"/>
    </x:row>
    <x:row r="2">
      <x:c r="A2" s="83"/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  <x:c r="O2" s="83"/>
      <x:c r="P2" s="83"/>
      <x:c r="Q2" s="83"/>
      <x:c r="R2" s="83"/>
      <x:c r="S2" s="83"/>
      <x:c r="T2" s="83"/>
      <x:c r="U2" s="83"/>
    </x:row>
    <x:row r="3">
      <x:c r="A3" s="113" t="str">
        <x:v>Tomato standalone schedule</x:v>
      </x:c>
      <x:c r="B3" s="114"/>
      <x:c r="C3" s="114"/>
      <x:c r="D3" s="114"/>
      <x:c r="E3" s="114"/>
      <x:c r="F3" s="114"/>
      <x:c r="G3" s="115"/>
      <x:c r="H3" s="113" t="str">
        <x:v>Carrot standalone schedule</x:v>
      </x:c>
      <x:c r="I3" s="114"/>
      <x:c r="J3" s="114"/>
      <x:c r="K3" s="114"/>
      <x:c r="L3" s="114"/>
      <x:c r="M3" s="114"/>
      <x:c r="N3" s="115"/>
      <x:c r="O3" s="113" t="str">
        <x:v>Mesclun standalone schedule</x:v>
      </x:c>
      <x:c r="P3" s="114"/>
      <x:c r="Q3" s="114"/>
      <x:c r="R3" s="114"/>
      <x:c r="S3" s="114"/>
      <x:c r="T3" s="114"/>
      <x:c r="U3" s="115"/>
    </x:row>
    <x:row r="4">
      <x:c r="A4" s="83"/>
      <x:c r="B4" s="83"/>
      <x:c r="C4" s="83"/>
      <x:c r="D4" s="83"/>
      <x:c r="E4" s="83"/>
      <x:c r="F4" s="83"/>
      <x:c r="G4" s="83"/>
      <x:c r="H4" s="83"/>
      <x:c r="I4" s="83"/>
      <x:c r="J4" s="83"/>
      <x:c r="K4" s="83"/>
      <x:c r="L4" s="83"/>
      <x:c r="M4" s="83"/>
      <x:c r="N4" s="83"/>
      <x:c r="O4" s="83"/>
      <x:c r="P4" s="83"/>
      <x:c r="Q4" s="83"/>
      <x:c r="R4" s="83"/>
      <x:c r="S4" s="83"/>
      <x:c r="T4" s="83"/>
      <x:c r="U4" s="83"/>
    </x:row>
    <x:row r="5">
      <x:c r="A5" s="84" t="str">
        <x:v>q</x:v>
      </x:c>
      <x:c r="B5" s="84" t="str">
        <x:v>Labor hours</x:v>
      </x:c>
      <x:c r="C5" s="84" t="str">
        <x:v>Labor cost</x:v>
      </x:c>
      <x:c r="D5" s="84" t="str">
        <x:v>Total variable cost</x:v>
      </x:c>
      <x:c r="E5" s="84" t="str">
        <x:v>Marginal cost</x:v>
      </x:c>
      <x:c r="F5" s="84" t="str">
        <x:v>Price</x:v>
      </x:c>
      <x:c r="G5" s="84" t="str">
        <x:v>Crossing</x:v>
      </x:c>
      <x:c r="H5" s="84" t="str">
        <x:v>q</x:v>
      </x:c>
      <x:c r="I5" s="84" t="str">
        <x:v>Labor hours</x:v>
      </x:c>
      <x:c r="J5" s="84" t="str">
        <x:v>Labor cost</x:v>
      </x:c>
      <x:c r="K5" s="84" t="str">
        <x:v>Total variable cost</x:v>
      </x:c>
      <x:c r="L5" s="84" t="str">
        <x:v>Marginal cost</x:v>
      </x:c>
      <x:c r="M5" s="84" t="str">
        <x:v>Price</x:v>
      </x:c>
      <x:c r="N5" s="84" t="str">
        <x:v>Crossing</x:v>
      </x:c>
      <x:c r="O5" s="84" t="str">
        <x:v>q</x:v>
      </x:c>
      <x:c r="P5" s="84" t="str">
        <x:v>Labor hours</x:v>
      </x:c>
      <x:c r="Q5" s="84" t="str">
        <x:v>Labor cost</x:v>
      </x:c>
      <x:c r="R5" s="84" t="str">
        <x:v>Total variable cost</x:v>
      </x:c>
      <x:c r="S5" s="84" t="str">
        <x:v>Marginal cost</x:v>
      </x:c>
      <x:c r="T5" s="84" t="str">
        <x:v>Price</x:v>
      </x:c>
      <x:c r="U5" s="84" t="str">
        <x:v>Crossing</x:v>
      </x:c>
    </x:row>
    <x:row r="6">
      <x:c r="A6" s="85" t="n">
        <x:v>0</x:v>
      </x:c>
      <x:c r="B6" s="108" t="n">
        <x:f>A6*TOMATO_HOURS*WEEKS*(1+TOMATO_DIM)^A6</x:f>
        <x:v>0</x:v>
      </x:c>
      <x:c r="C6" s="123" t="n">
        <x:f>MIN(B6,FARMER_HOURS)*FARMER_RATE+MAX(B6-FARMER_HOURS,0)*TEMP_RATE</x:f>
        <x:v>0</x:v>
      </x:c>
      <x:c r="D6" s="123" t="n">
        <x:f>C6+A6*TOMATO_FERTILIZER</x:f>
        <x:v>0</x:v>
      </x:c>
      <x:c r="E6" s="123" t="str">
        <x:f>""</x:f>
      </x:c>
      <x:c r="F6" s="123" t="n">
        <x:f>TOMATO_PRICE</x:f>
        <x:v>8800</x:v>
      </x:c>
      <x:c r="G6" s="85" t="str">
        <x:f>IF(AND(E6&lt;=F6,E7&gt;F6),"CROSS","")</x:f>
      </x:c>
      <x:c r="H6" s="85" t="n">
        <x:v>0</x:v>
      </x:c>
      <x:c r="I6" s="108" t="n">
        <x:f>H6*CARROT_HOURS*WEEKS*(1+CARROT_DIM)^H6</x:f>
        <x:v>0</x:v>
      </x:c>
      <x:c r="J6" s="123" t="n">
        <x:f>MIN(I6,FARMER_HOURS)*FARMER_RATE+MAX(I6-FARMER_HOURS,0)*TEMP_RATE</x:f>
        <x:v>0</x:v>
      </x:c>
      <x:c r="K6" s="123" t="n">
        <x:f>J6+H6*CARROT_FERTILIZER</x:f>
        <x:v>0</x:v>
      </x:c>
      <x:c r="L6" s="123" t="str">
        <x:f>""</x:f>
      </x:c>
      <x:c r="M6" s="123" t="n">
        <x:f>CARROT_PRICE</x:f>
        <x:v>2094</x:v>
      </x:c>
      <x:c r="N6" s="85" t="str">
        <x:f>IF(AND(L6&lt;=M6,L7&gt;M6),"CROSS","")</x:f>
      </x:c>
      <x:c r="O6" s="85" t="n">
        <x:v>0</x:v>
      </x:c>
      <x:c r="P6" s="108" t="n">
        <x:f>O6*MESCLUN_HOURS*WEEKS*(1+MESCLUN_DIM)^O6</x:f>
        <x:v>0</x:v>
      </x:c>
      <x:c r="Q6" s="123" t="n">
        <x:f>MIN(P6,FARMER_HOURS)*FARMER_RATE+MAX(P6-FARMER_HOURS,0)*TEMP_RATE</x:f>
        <x:v>0</x:v>
      </x:c>
      <x:c r="R6" s="123" t="n">
        <x:f>Q6+O6*MESCLUN_FERTILIZER</x:f>
        <x:v>0</x:v>
      </x:c>
      <x:c r="S6" s="123" t="str">
        <x:f>""</x:f>
      </x:c>
      <x:c r="T6" s="123" t="n">
        <x:f>MESCLUN_PRICE</x:f>
        <x:v>2700</x:v>
      </x:c>
      <x:c r="U6" s="85" t="str">
        <x:f>IF(AND(S6&lt;=T6,S7&gt;T6),"CROSS","")</x:f>
      </x:c>
    </x:row>
    <x:row r="7">
      <x:c r="A7" s="87" t="n">
        <x:v>1</x:v>
      </x:c>
      <x:c r="B7" s="110" t="n">
        <x:f>A7*TOMATO_HOURS*WEEKS*(1+TOMATO_DIM)^A7</x:f>
        <x:v>99.00000000000001</x:v>
      </x:c>
      <x:c r="C7" s="117" t="n">
        <x:f>MIN(B7,FARMER_HOURS)*FARMER_RATE+MAX(B7-FARMER_HOURS,0)*TEMP_RATE</x:f>
        <x:v>3437.28</x:v>
      </x:c>
      <x:c r="D7" s="117" t="n">
        <x:f>C7+A7*TOMATO_FERTILIZER</x:f>
        <x:v>4317.280000000001</x:v>
      </x:c>
      <x:c r="E7" s="117" t="n">
        <x:f>D7-D6</x:f>
        <x:v>4317.280000000001</x:v>
      </x:c>
      <x:c r="F7" s="117" t="n">
        <x:f>TOMATO_PRICE</x:f>
        <x:v>8800</x:v>
      </x:c>
      <x:c r="G7" s="87" t="str">
        <x:f>IF(AND(E7&lt;=F7,E8&gt;F7),"CROSS","")</x:f>
      </x:c>
      <x:c r="H7" s="87" t="n">
        <x:v>1</x:v>
      </x:c>
      <x:c r="I7" s="110" t="n">
        <x:f>H7*CARROT_HOURS*WEEKS*(1+CARROT_DIM)^H7</x:f>
        <x:v>30.737699999999997</x:v>
      </x:c>
      <x:c r="J7" s="117" t="n">
        <x:f>MIN(I7,FARMER_HOURS)*FARMER_RATE+MAX(I7-FARMER_HOURS,0)*TEMP_RATE</x:f>
        <x:v>1067.2129439999999</x:v>
      </x:c>
      <x:c r="K7" s="117" t="n">
        <x:f>J7+H7*CARROT_FERTILIZER</x:f>
        <x:v>1507.2129439999999</x:v>
      </x:c>
      <x:c r="L7" s="117" t="n">
        <x:f>K7-K6</x:f>
        <x:v>1507.2129439999999</x:v>
      </x:c>
      <x:c r="M7" s="117" t="n">
        <x:f>CARROT_PRICE</x:f>
        <x:v>2094</x:v>
      </x:c>
      <x:c r="N7" s="87" t="str">
        <x:f>IF(AND(L7&lt;=M7,L8&gt;M7),"CROSS","")</x:f>
      </x:c>
      <x:c r="O7" s="87" t="n">
        <x:v>1</x:v>
      </x:c>
      <x:c r="P7" s="110" t="n">
        <x:f>O7*MESCLUN_HOURS*WEEKS*(1+MESCLUN_DIM)^O7</x:f>
        <x:v>45.5625</x:v>
      </x:c>
      <x:c r="Q7" s="117" t="n">
        <x:f>MIN(P7,FARMER_HOURS)*FARMER_RATE+MAX(P7-FARMER_HOURS,0)*TEMP_RATE</x:f>
        <x:v>1581.9299999999998</x:v>
      </x:c>
      <x:c r="R7" s="117" t="n">
        <x:f>Q7+O7*MESCLUN_FERTILIZER</x:f>
        <x:v>2461.93</x:v>
      </x:c>
      <x:c r="S7" s="117" t="n">
        <x:f>R7-R6</x:f>
        <x:v>2461.93</x:v>
      </x:c>
      <x:c r="T7" s="117" t="n">
        <x:f>MESCLUN_PRICE</x:f>
        <x:v>2700</x:v>
      </x:c>
      <x:c r="U7" s="87" t="str">
        <x:f>IF(AND(S7&lt;=T7,S8&gt;T7),"CROSS","")</x:f>
      </x:c>
    </x:row>
    <x:row r="8">
      <x:c r="A8" s="87" t="n">
        <x:v>2</x:v>
      </x:c>
      <x:c r="B8" s="110" t="n">
        <x:f>A8*TOMATO_HOURS*WEEKS*(1+TOMATO_DIM)^A8</x:f>
        <x:v>217.80000000000004</x:v>
      </x:c>
      <x:c r="C8" s="117" t="n">
        <x:f>MIN(B8,FARMER_HOURS)*FARMER_RATE+MAX(B8-FARMER_HOURS,0)*TEMP_RATE</x:f>
        <x:v>7562.016000000001</x:v>
      </x:c>
      <x:c r="D8" s="117" t="n">
        <x:f>C8+A8*TOMATO_FERTILIZER</x:f>
        <x:v>9322.016000000001</x:v>
      </x:c>
      <x:c r="E8" s="117" t="n">
        <x:f>D8-D7</x:f>
        <x:v>5004.736000000001</x:v>
      </x:c>
      <x:c r="F8" s="117" t="n">
        <x:f>TOMATO_PRICE</x:f>
        <x:v>8800</x:v>
      </x:c>
      <x:c r="G8" s="87" t="str">
        <x:f>IF(AND(E8&lt;=F8,E9&gt;F8),"CROSS","")</x:f>
      </x:c>
      <x:c r="H8" s="87" t="n">
        <x:v>2</x:v>
      </x:c>
      <x:c r="I8" s="110" t="n">
        <x:f>H8*CARROT_HOURS*WEEKS*(1+CARROT_DIM)^H8</x:f>
        <x:v>63.01228499999999</x:v>
      </x:c>
      <x:c r="J8" s="117" t="n">
        <x:f>MIN(I8,FARMER_HOURS)*FARMER_RATE+MAX(I8-FARMER_HOURS,0)*TEMP_RATE</x:f>
        <x:v>2187.7865351999994</x:v>
      </x:c>
      <x:c r="K8" s="117" t="n">
        <x:f>J8+H8*CARROT_FERTILIZER</x:f>
        <x:v>3067.7865351999994</x:v>
      </x:c>
      <x:c r="L8" s="117" t="n">
        <x:f>K8-K7</x:f>
        <x:v>1560.5735911999996</x:v>
      </x:c>
      <x:c r="M8" s="117" t="n">
        <x:f>CARROT_PRICE</x:f>
        <x:v>2094</x:v>
      </x:c>
      <x:c r="N8" s="87" t="str">
        <x:f>IF(AND(L8&lt;=M8,L9&gt;M8),"CROSS","")</x:f>
      </x:c>
      <x:c r="O8" s="87" t="n">
        <x:v>2</x:v>
      </x:c>
      <x:c r="P8" s="110" t="n">
        <x:f>O8*MESCLUN_HOURS*WEEKS*(1+MESCLUN_DIM)^O8</x:f>
        <x:v>92.2640625</x:v>
      </x:c>
      <x:c r="Q8" s="117" t="n">
        <x:f>MIN(P8,FARMER_HOURS)*FARMER_RATE+MAX(P8-FARMER_HOURS,0)*TEMP_RATE</x:f>
        <x:v>3203.4082499999995</x:v>
      </x:c>
      <x:c r="R8" s="117" t="n">
        <x:f>Q8+O8*MESCLUN_FERTILIZER</x:f>
        <x:v>4963.4082499999995</x:v>
      </x:c>
      <x:c r="S8" s="117" t="n">
        <x:f>R8-R7</x:f>
        <x:v>2501.4782499999997</x:v>
      </x:c>
      <x:c r="T8" s="117" t="n">
        <x:f>MESCLUN_PRICE</x:f>
        <x:v>2700</x:v>
      </x:c>
      <x:c r="U8" s="87" t="str">
        <x:f>IF(AND(S8&lt;=T8,S9&gt;T8),"CROSS","")</x:f>
      </x:c>
    </x:row>
    <x:row r="9">
      <x:c r="A9" s="87" t="n">
        <x:v>3</x:v>
      </x:c>
      <x:c r="B9" s="110" t="n">
        <x:f>A9*TOMATO_HOURS*WEEKS*(1+TOMATO_DIM)^A9</x:f>
        <x:v>359.3700000000001</x:v>
      </x:c>
      <x:c r="C9" s="117" t="n">
        <x:f>MIN(B9,FARMER_HOURS)*FARMER_RATE+MAX(B9-FARMER_HOURS,0)*TEMP_RATE</x:f>
        <x:v>12477.326400000004</x:v>
      </x:c>
      <x:c r="D9" s="117" t="n">
        <x:f>C9+A9*TOMATO_FERTILIZER</x:f>
        <x:v>15117.326400000004</x:v>
      </x:c>
      <x:c r="E9" s="117" t="n">
        <x:f>D9-D8</x:f>
        <x:v>5795.310400000002</x:v>
      </x:c>
      <x:c r="F9" s="117" t="n">
        <x:f>TOMATO_PRICE</x:f>
        <x:v>8800</x:v>
      </x:c>
      <x:c r="G9" s="87" t="str">
        <x:f>IF(AND(E9&lt;=F9,E10&gt;F9),"CROSS","")</x:f>
      </x:c>
      <x:c r="H9" s="87" t="n">
        <x:v>3</x:v>
      </x:c>
      <x:c r="I9" s="110" t="n">
        <x:f>H9*CARROT_HOURS*WEEKS*(1+CARROT_DIM)^H9</x:f>
        <x:v>96.88138818749995</x:v>
      </x:c>
      <x:c r="J9" s="117" t="n">
        <x:f>MIN(I9,FARMER_HOURS)*FARMER_RATE+MAX(I9-FARMER_HOURS,0)*TEMP_RATE</x:f>
        <x:v>3363.721797869998</x:v>
      </x:c>
      <x:c r="K9" s="117" t="n">
        <x:f>J9+H9*CARROT_FERTILIZER</x:f>
        <x:v>4683.721797869998</x:v>
      </x:c>
      <x:c r="L9" s="117" t="n">
        <x:f>K9-K8</x:f>
        <x:v>1615.9352626699988</x:v>
      </x:c>
      <x:c r="M9" s="117" t="n">
        <x:f>CARROT_PRICE</x:f>
        <x:v>2094</x:v>
      </x:c>
      <x:c r="N9" s="87" t="str">
        <x:f>IF(AND(L9&lt;=M9,L10&gt;M9),"CROSS","")</x:f>
      </x:c>
      <x:c r="O9" s="87" t="n">
        <x:v>3</x:v>
      </x:c>
      <x:c r="P9" s="110" t="n">
        <x:f>O9*MESCLUN_HOURS*WEEKS*(1+MESCLUN_DIM)^O9</x:f>
        <x:v>140.12604492187498</x:v>
      </x:c>
      <x:c r="Q9" s="117" t="n">
        <x:f>MIN(P9,FARMER_HOURS)*FARMER_RATE+MAX(P9-FARMER_HOURS,0)*TEMP_RATE</x:f>
        <x:v>4865.176279687499</x:v>
      </x:c>
      <x:c r="R9" s="117" t="n">
        <x:f>Q9+O9*MESCLUN_FERTILIZER</x:f>
        <x:v>7505.176279687499</x:v>
      </x:c>
      <x:c r="S9" s="117" t="n">
        <x:f>R9-R8</x:f>
        <x:v>2541.7680296874996</x:v>
      </x:c>
      <x:c r="T9" s="117" t="n">
        <x:f>MESCLUN_PRICE</x:f>
        <x:v>2700</x:v>
      </x:c>
      <x:c r="U9" s="87" t="str">
        <x:f>IF(AND(S9&lt;=T9,S10&gt;T9),"CROSS","")</x:f>
      </x:c>
    </x:row>
    <x:row r="10">
      <x:c r="A10" s="87" t="n">
        <x:v>4</x:v>
      </x:c>
      <x:c r="B10" s="110" t="n">
        <x:f>A10*TOMATO_HOURS*WEEKS*(1+TOMATO_DIM)^A10</x:f>
        <x:v>527.0760000000001</x:v>
      </x:c>
      <x:c r="C10" s="117" t="n">
        <x:f>MIN(B10,FARMER_HOURS)*FARMER_RATE+MAX(B10-FARMER_HOURS,0)*TEMP_RATE</x:f>
        <x:v>18300.078720000005</x:v>
      </x:c>
      <x:c r="D10" s="117" t="n">
        <x:f>C10+A10*TOMATO_FERTILIZER</x:f>
        <x:v>21820.078720000005</x:v>
      </x:c>
      <x:c r="E10" s="117" t="n">
        <x:f>D10-D9</x:f>
        <x:v>6702.752320000001</x:v>
      </x:c>
      <x:c r="F10" s="117" t="n">
        <x:f>TOMATO_PRICE</x:f>
        <x:v>8800</x:v>
      </x:c>
      <x:c r="G10" s="87" t="str">
        <x:f>IF(AND(E10&lt;=F10,E11&gt;F10),"CROSS","")</x:f>
      </x:c>
      <x:c r="H10" s="87" t="n">
        <x:v>4</x:v>
      </x:c>
      <x:c r="I10" s="110" t="n">
        <x:f>H10*CARROT_HOURS*WEEKS*(1+CARROT_DIM)^H10</x:f>
        <x:v>132.40456385624995</x:v>
      </x:c>
      <x:c r="J10" s="117" t="n">
        <x:f>MIN(I10,FARMER_HOURS)*FARMER_RATE+MAX(I10-FARMER_HOURS,0)*TEMP_RATE</x:f>
        <x:v>4597.086457088998</x:v>
      </x:c>
      <x:c r="K10" s="117" t="n">
        <x:f>J10+H10*CARROT_FERTILIZER</x:f>
        <x:v>6357.086457088998</x:v>
      </x:c>
      <x:c r="L10" s="117" t="n">
        <x:f>K10-K9</x:f>
        <x:v>1673.3646592189998</x:v>
      </x:c>
      <x:c r="M10" s="117" t="n">
        <x:f>CARROT_PRICE</x:f>
        <x:v>2094</x:v>
      </x:c>
      <x:c r="N10" s="87" t="str">
        <x:f>IF(AND(L10&lt;=M10,L11&gt;M10),"CROSS","")</x:f>
      </x:c>
      <x:c r="O10" s="87" t="n">
        <x:v>4</x:v>
      </x:c>
      <x:c r="P10" s="110" t="n">
        <x:f>O10*MESCLUN_HOURS*WEEKS*(1+MESCLUN_DIM)^O10</x:f>
        <x:v>189.1701606445312</x:v>
      </x:c>
      <x:c r="Q10" s="117" t="n">
        <x:f>MIN(P10,FARMER_HOURS)*FARMER_RATE+MAX(P10-FARMER_HOURS,0)*TEMP_RATE</x:f>
        <x:v>6567.987977578123</x:v>
      </x:c>
      <x:c r="R10" s="117" t="n">
        <x:f>Q10+O10*MESCLUN_FERTILIZER</x:f>
        <x:v>10087.987977578123</x:v>
      </x:c>
      <x:c r="S10" s="117" t="n">
        <x:f>R10-R9</x:f>
        <x:v>2582.8116978906237</x:v>
      </x:c>
      <x:c r="T10" s="117" t="n">
        <x:f>MESCLUN_PRICE</x:f>
        <x:v>2700</x:v>
      </x:c>
      <x:c r="U10" s="87" t="str">
        <x:f>IF(AND(S10&lt;=T10,S11&gt;T10),"CROSS","")</x:f>
      </x:c>
    </x:row>
    <x:row r="11">
      <x:c r="A11" s="87" t="n">
        <x:v>5</x:v>
      </x:c>
      <x:c r="B11" s="110" t="n">
        <x:f>A11*TOMATO_HOURS*WEEKS*(1+TOMATO_DIM)^A11</x:f>
        <x:v>724.7295000000003</x:v>
      </x:c>
      <x:c r="C11" s="117" t="n">
        <x:f>MIN(B11,FARMER_HOURS)*FARMER_RATE+MAX(B11-FARMER_HOURS,0)*TEMP_RATE</x:f>
        <x:v>25080.50412</x:v>
      </x:c>
      <x:c r="D11" s="117" t="n">
        <x:f>C11+A11*TOMATO_FERTILIZER</x:f>
        <x:v>29480.50412</x:v>
      </x:c>
      <x:c r="E11" s="117" t="n">
        <x:f>D11-D10</x:f>
        <x:v>7660.425399999996</x:v>
      </x:c>
      <x:c r="F11" s="117" t="n">
        <x:f>TOMATO_PRICE</x:f>
        <x:v>8800</x:v>
      </x:c>
      <x:c r="G11" s="87" t="str">
        <x:f>IF(AND(E11&lt;=F11,E12&gt;F11),"CROSS","")</x:f>
      </x:c>
      <x:c r="H11" s="87" t="n">
        <x:v>5</x:v>
      </x:c>
      <x:c r="I11" s="110" t="n">
        <x:f>H11*CARROT_HOURS*WEEKS*(1+CARROT_DIM)^H11</x:f>
        <x:v>169.64334744082024</x:v>
      </x:c>
      <x:c r="J11" s="117" t="n">
        <x:f>MIN(I11,FARMER_HOURS)*FARMER_RATE+MAX(I11-FARMER_HOURS,0)*TEMP_RATE</x:f>
        <x:v>5890.0170231452785</x:v>
      </x:c>
      <x:c r="K11" s="117" t="n">
        <x:f>J11+H11*CARROT_FERTILIZER</x:f>
        <x:v>8090.0170231452785</x:v>
      </x:c>
      <x:c r="L11" s="117" t="n">
        <x:f>K11-K10</x:f>
        <x:v>1732.9305660562804</x:v>
      </x:c>
      <x:c r="M11" s="117" t="n">
        <x:f>CARROT_PRICE</x:f>
        <x:v>2094</x:v>
      </x:c>
      <x:c r="N11" s="87" t="str">
        <x:f>IF(AND(L11&lt;=M11,L12&gt;M11),"CROSS","")</x:f>
      </x:c>
      <x:c r="O11" s="87" t="n">
        <x:v>5</x:v>
      </x:c>
      <x:c r="P11" s="110" t="n">
        <x:f>O11*MESCLUN_HOURS*WEEKS*(1+MESCLUN_DIM)^O11</x:f>
        <x:v>239.41848456573481</x:v>
      </x:c>
      <x:c r="Q11" s="117" t="n">
        <x:f>MIN(P11,FARMER_HOURS)*FARMER_RATE+MAX(P11-FARMER_HOURS,0)*TEMP_RATE</x:f>
        <x:v>8312.609784122313</x:v>
      </x:c>
      <x:c r="R11" s="117" t="n">
        <x:f>Q11+O11*MESCLUN_FERTILIZER</x:f>
        <x:v>12712.609784122313</x:v>
      </x:c>
      <x:c r="S11" s="117" t="n">
        <x:f>R11-R10</x:f>
        <x:v>2624.62180654419</x:v>
      </x:c>
      <x:c r="T11" s="117" t="n">
        <x:f>MESCLUN_PRICE</x:f>
        <x:v>2700</x:v>
      </x:c>
      <x:c r="U11" s="87" t="str">
        <x:f>IF(AND(S11&lt;=T11,S12&gt;T11),"CROSS","")</x:f>
      </x:c>
    </x:row>
    <x:row r="12">
      <x:c r="A12" s="87" t="n">
        <x:v>6</x:v>
      </x:c>
      <x:c r="B12" s="110" t="n">
        <x:f>A12*TOMATO_HOURS*WEEKS*(1+TOMATO_DIM)^A12</x:f>
        <x:v>956.6429400000004</x:v>
      </x:c>
      <x:c r="C12" s="117" t="n">
        <x:f>MIN(B12,FARMER_HOURS)*FARMER_RATE+MAX(B12-FARMER_HOURS,0)*TEMP_RATE</x:f>
        <x:v>29106.521438400006</x:v>
      </x:c>
      <x:c r="D12" s="117" t="n">
        <x:f>C12+A12*TOMATO_FERTILIZER</x:f>
        <x:v>34386.52143840001</x:v>
      </x:c>
      <x:c r="E12" s="117" t="n">
        <x:f>D12-D11</x:f>
        <x:v>4906.017318400005</x:v>
      </x:c>
      <x:c r="F12" s="117" t="n">
        <x:f>TOMATO_PRICE</x:f>
        <x:v>8800</x:v>
      </x:c>
      <x:c r="G12" s="87" t="str">
        <x:f>IF(AND(E12&lt;=F12,E13&gt;F12),"CROSS","")</x:f>
      </x:c>
      <x:c r="H12" s="87" t="n">
        <x:v>6</x:v>
      </x:c>
      <x:c r="I12" s="110" t="n">
        <x:f>H12*CARROT_HOURS*WEEKS*(1+CARROT_DIM)^H12</x:f>
        <x:v>208.66131735220884</x:v>
      </x:c>
      <x:c r="J12" s="117" t="n">
        <x:f>MIN(I12,FARMER_HOURS)*FARMER_RATE+MAX(I12-FARMER_HOURS,0)*TEMP_RATE</x:f>
        <x:v>7244.72093846869</x:v>
      </x:c>
      <x:c r="K12" s="117" t="n">
        <x:f>J12+H12*CARROT_FERTILIZER</x:f>
        <x:v>9884.72093846869</x:v>
      </x:c>
      <x:c r="L12" s="117" t="n">
        <x:f>K12-K11</x:f>
        <x:v>1794.7039153234118</x:v>
      </x:c>
      <x:c r="M12" s="117" t="n">
        <x:f>CARROT_PRICE</x:f>
        <x:v>2094</x:v>
      </x:c>
      <x:c r="N12" s="87" t="str">
        <x:f>IF(AND(L12&lt;=M12,L13&gt;M12),"CROSS","")</x:f>
      </x:c>
      <x:c r="O12" s="87" t="n">
        <x:v>6</x:v>
      </x:c>
      <x:c r="P12" s="110" t="n">
        <x:f>O12*MESCLUN_HOURS*WEEKS*(1+MESCLUN_DIM)^O12</x:f>
        <x:v>290.89345874736773</x:v>
      </x:c>
      <x:c r="Q12" s="117" t="n">
        <x:f>MIN(P12,FARMER_HOURS)*FARMER_RATE+MAX(P12-FARMER_HOURS,0)*TEMP_RATE</x:f>
        <x:v>10099.820887708607</x:v>
      </x:c>
      <x:c r="R12" s="117" t="n">
        <x:f>Q12+O12*MESCLUN_FERTILIZER</x:f>
        <x:v>15379.820887708607</x:v>
      </x:c>
      <x:c r="S12" s="117" t="n">
        <x:f>R12-R11</x:f>
        <x:v>2667.2111035862945</x:v>
      </x:c>
      <x:c r="T12" s="117" t="n">
        <x:f>MESCLUN_PRICE</x:f>
        <x:v>2700</x:v>
      </x:c>
      <x:c r="U12" s="87" t="str">
        <x:f>IF(AND(S12&lt;=T12,S13&gt;T12),"CROSS","")</x:f>
        <x:v>CROSS</x:v>
      </x:c>
    </x:row>
    <x:row r="13">
      <x:c r="A13" s="87" t="n">
        <x:v>7</x:v>
      </x:c>
      <x:c r="B13" s="110" t="n">
        <x:f>A13*TOMATO_HOURS*WEEKS*(1+TOMATO_DIM)^A13</x:f>
        <x:v>1227.6917730000007</x:v>
      </x:c>
      <x:c r="C13" s="117" t="n">
        <x:f>MIN(B13,FARMER_HOURS)*FARMER_RATE+MAX(B13-FARMER_HOURS,0)*TEMP_RATE</x:f>
        <x:v>33811.92917928001</x:v>
      </x:c>
      <x:c r="D13" s="117" t="n">
        <x:f>C13+A13*TOMATO_FERTILIZER</x:f>
        <x:v>39971.92917928001</x:v>
      </x:c>
      <x:c r="E13" s="117" t="n">
        <x:f>D13-D12</x:f>
        <x:v>5585.40774088</x:v>
      </x:c>
      <x:c r="F13" s="117" t="n">
        <x:f>TOMATO_PRICE</x:f>
        <x:v>8800</x:v>
      </x:c>
      <x:c r="G13" s="87" t="str">
        <x:f>IF(AND(E13&lt;=F13,E14&gt;F13),"CROSS","")</x:f>
      </x:c>
      <x:c r="H13" s="87" t="n">
        <x:v>7</x:v>
      </x:c>
      <x:c r="I13" s="110" t="n">
        <x:f>H13*CARROT_HOURS*WEEKS*(1+CARROT_DIM)^H13</x:f>
        <x:v>249.52415866701645</x:v>
      </x:c>
      <x:c r="J13" s="117" t="n">
        <x:f>MIN(I13,FARMER_HOURS)*FARMER_RATE+MAX(I13-FARMER_HOURS,0)*TEMP_RATE</x:f>
        <x:v>8663.47878891881</x:v>
      </x:c>
      <x:c r="K13" s="117" t="n">
        <x:f>J13+H13*CARROT_FERTILIZER</x:f>
        <x:v>11743.47878891881</x:v>
      </x:c>
      <x:c r="L13" s="117" t="n">
        <x:f>K13-K12</x:f>
        <x:v>1858.7578504501198</x:v>
      </x:c>
      <x:c r="M13" s="117" t="n">
        <x:f>CARROT_PRICE</x:f>
        <x:v>2094</x:v>
      </x:c>
      <x:c r="N13" s="87" t="str">
        <x:f>IF(AND(L13&lt;=M13,L14&gt;M13),"CROSS","")</x:f>
      </x:c>
      <x:c r="O13" s="87" t="n">
        <x:v>7</x:v>
      </x:c>
      <x:c r="P13" s="110" t="n">
        <x:f>O13*MESCLUN_HOURS*WEEKS*(1+MESCLUN_DIM)^O13</x:f>
        <x:v>343.6178981453282</x:v>
      </x:c>
      <x:c r="Q13" s="117" t="n">
        <x:f>MIN(P13,FARMER_HOURS)*FARMER_RATE+MAX(P13-FARMER_HOURS,0)*TEMP_RATE</x:f>
        <x:v>11930.413423605794</x:v>
      </x:c>
      <x:c r="R13" s="117" t="n">
        <x:f>Q13+O13*MESCLUN_FERTILIZER</x:f>
        <x:v>18090.413423605794</x:v>
      </x:c>
      <x:c r="S13" s="117" t="n">
        <x:f>R13-R12</x:f>
        <x:v>2710.592535897187</x:v>
      </x:c>
      <x:c r="T13" s="117" t="n">
        <x:f>MESCLUN_PRICE</x:f>
        <x:v>2700</x:v>
      </x:c>
      <x:c r="U13" s="87" t="str">
        <x:f>IF(AND(S13&lt;=T13,S14&gt;T13),"CROSS","")</x:f>
      </x:c>
    </x:row>
    <x:row r="14">
      <x:c r="A14" s="87" t="n">
        <x:v>8</x:v>
      </x:c>
      <x:c r="B14" s="110" t="n">
        <x:f>A14*TOMATO_HOURS*WEEKS*(1+TOMATO_DIM)^A14</x:f>
        <x:v>1543.383943200001</x:v>
      </x:c>
      <x:c r="C14" s="117" t="n">
        <x:f>MIN(B14,FARMER_HOURS)*FARMER_RATE+MAX(B14-FARMER_HOURS,0)*TEMP_RATE</x:f>
        <x:v>39292.345253952015</x:v>
      </x:c>
      <x:c r="D14" s="117" t="n">
        <x:f>C14+A14*TOMATO_FERTILIZER</x:f>
        <x:v>46332.345253952015</x:v>
      </x:c>
      <x:c r="E14" s="117" t="n">
        <x:f>D14-D13</x:f>
        <x:v>6360.416074672008</x:v>
      </x:c>
      <x:c r="F14" s="117" t="n">
        <x:f>TOMATO_PRICE</x:f>
        <x:v>8800</x:v>
      </x:c>
      <x:c r="G14" s="87" t="str">
        <x:f>IF(AND(E14&lt;=F14,E15&gt;F14),"CROSS","")</x:f>
      </x:c>
      <x:c r="H14" s="87" t="n">
        <x:v>8</x:v>
      </x:c>
      <x:c r="I14" s="110" t="n">
        <x:f>H14*CARROT_HOURS*WEEKS*(1+CARROT_DIM)^H14</x:f>
        <x:v>292.29972872421916</x:v>
      </x:c>
      <x:c r="J14" s="117" t="n">
        <x:f>MIN(I14,FARMER_HOURS)*FARMER_RATE+MAX(I14-FARMER_HOURS,0)*TEMP_RATE</x:f>
        <x:v>10148.646581304889</x:v>
      </x:c>
      <x:c r="K14" s="117" t="n">
        <x:f>J14+H14*CARROT_FERTILIZER</x:f>
        <x:v>13668.646581304889</x:v>
      </x:c>
      <x:c r="L14" s="117" t="n">
        <x:f>K14-K13</x:f>
        <x:v>1925.1677923860789</x:v>
      </x:c>
      <x:c r="M14" s="117" t="n">
        <x:f>CARROT_PRICE</x:f>
        <x:v>2094</x:v>
      </x:c>
      <x:c r="N14" s="87" t="str">
        <x:f>IF(AND(L14&lt;=M14,L15&gt;M14),"CROSS","")</x:f>
      </x:c>
      <x:c r="O14" s="87" t="n">
        <x:v>8</x:v>
      </x:c>
      <x:c r="P14" s="110" t="n">
        <x:f>O14*MESCLUN_HOURS*WEEKS*(1+MESCLUN_DIM)^O14</x:f>
        <x:v>397.61499642530833</x:v>
      </x:c>
      <x:c r="Q14" s="117" t="n">
        <x:f>MIN(P14,FARMER_HOURS)*FARMER_RATE+MAX(P14-FARMER_HOURS,0)*TEMP_RATE</x:f>
        <x:v>13805.192675886705</x:v>
      </x:c>
      <x:c r="R14" s="117" t="n">
        <x:f>Q14+O14*MESCLUN_FERTILIZER</x:f>
        <x:v>20845.192675886705</x:v>
      </x:c>
      <x:c r="S14" s="117" t="n">
        <x:f>R14-R13</x:f>
        <x:v>2754.7792522809104</x:v>
      </x:c>
      <x:c r="T14" s="117" t="n">
        <x:f>MESCLUN_PRICE</x:f>
        <x:v>2700</x:v>
      </x:c>
      <x:c r="U14" s="87" t="str">
        <x:f>IF(AND(S14&lt;=T14,S15&gt;T14),"CROSS","")</x:f>
      </x:c>
    </x:row>
    <x:row r="15">
      <x:c r="A15" s="87" t="n">
        <x:v>9</x:v>
      </x:c>
      <x:c r="B15" s="110" t="n">
        <x:f>A15*TOMATO_HOURS*WEEKS*(1+TOMATO_DIM)^A15</x:f>
        <x:v>1909.9376297100016</x:v>
      </x:c>
      <x:c r="C15" s="117" t="n">
        <x:f>MIN(B15,FARMER_HOURS)*FARMER_RATE+MAX(B15-FARMER_HOURS,0)*TEMP_RATE</x:f>
        <x:v>45655.71725176563</x:v>
      </x:c>
      <x:c r="D15" s="117" t="n">
        <x:f>C15+A15*TOMATO_FERTILIZER</x:f>
        <x:v>53575.71725176563</x:v>
      </x:c>
      <x:c r="E15" s="117" t="n">
        <x:f>D15-D14</x:f>
        <x:v>7243.371997813614</x:v>
      </x:c>
      <x:c r="F15" s="117" t="n">
        <x:f>TOMATO_PRICE</x:f>
        <x:v>8800</x:v>
      </x:c>
      <x:c r="G15" s="87" t="str">
        <x:f>IF(AND(E15&lt;=F15,E16&gt;F15),"CROSS","")</x:f>
      </x:c>
      <x:c r="H15" s="87" t="n">
        <x:v>9</x:v>
      </x:c>
      <x:c r="I15" s="110" t="n">
        <x:f>H15*CARROT_HOURS*WEEKS*(1+CARROT_DIM)^H15</x:f>
        <x:v>337.0581246851153</x:v>
      </x:c>
      <x:c r="J15" s="117" t="n">
        <x:f>MIN(I15,FARMER_HOURS)*FARMER_RATE+MAX(I15-FARMER_HOURS,0)*TEMP_RATE</x:f>
        <x:v>11702.658089067201</x:v>
      </x:c>
      <x:c r="K15" s="117" t="n">
        <x:f>J15+H15*CARROT_FERTILIZER</x:f>
        <x:v>15662.658089067201</x:v>
      </x:c>
      <x:c r="L15" s="117" t="n">
        <x:f>K15-K14</x:f>
        <x:v>1994.0115077623122</x:v>
      </x:c>
      <x:c r="M15" s="117" t="n">
        <x:f>CARROT_PRICE</x:f>
        <x:v>2094</x:v>
      </x:c>
      <x:c r="N15" s="87" t="str">
        <x:f>IF(AND(L15&lt;=M15,L16&gt;M15),"CROSS","")</x:f>
      </x:c>
      <x:c r="O15" s="87" t="n">
        <x:v>9</x:v>
      </x:c>
      <x:c r="P15" s="110" t="n">
        <x:f>O15*MESCLUN_HOURS*WEEKS*(1+MESCLUN_DIM)^O15</x:f>
        <x:v>452.90833186570273</x:v>
      </x:c>
      <x:c r="Q15" s="117" t="n">
        <x:f>MIN(P15,FARMER_HOURS)*FARMER_RATE+MAX(P15-FARMER_HOURS,0)*TEMP_RATE</x:f>
        <x:v>15724.977282377198</x:v>
      </x:c>
      <x:c r="R15" s="117" t="n">
        <x:f>Q15+O15*MESCLUN_FERTILIZER</x:f>
        <x:v>23644.9772823772</x:v>
      </x:c>
      <x:c r="S15" s="117" t="n">
        <x:f>R15-R14</x:f>
        <x:v>2799.784606490495</x:v>
      </x:c>
      <x:c r="T15" s="117" t="n">
        <x:f>MESCLUN_PRICE</x:f>
        <x:v>2700</x:v>
      </x:c>
      <x:c r="U15" s="87" t="str">
        <x:f>IF(AND(S15&lt;=T15,S16&gt;T15),"CROSS","")</x:f>
      </x:c>
    </x:row>
    <x:row r="16">
      <x:c r="A16" s="87" t="n">
        <x:v>10</x:v>
      </x:c>
      <x:c r="B16" s="110" t="n">
        <x:f>A16*TOMATO_HOURS*WEEKS*(1+TOMATO_DIM)^A16</x:f>
        <x:v>2334.368214090002</x:v>
      </x:c>
      <x:c r="C16" s="117" t="n">
        <x:f>MIN(B16,FARMER_HOURS)*FARMER_RATE+MAX(B16-FARMER_HOURS,0)*TEMP_RATE</x:f>
        <x:v>53023.83219660243</x:v>
      </x:c>
      <x:c r="D16" s="117" t="n">
        <x:f>C16+A16*TOMATO_FERTILIZER</x:f>
        <x:v>61823.83219660243</x:v>
      </x:c>
      <x:c r="E16" s="117" t="n">
        <x:f>D16-D15</x:f>
        <x:v>8248.114944836801</x:v>
      </x:c>
      <x:c r="F16" s="117" t="n">
        <x:f>TOMATO_PRICE</x:f>
        <x:v>8800</x:v>
      </x:c>
      <x:c r="G16" s="87" t="str">
        <x:f>IF(AND(E16&lt;=F16,E17&gt;F16),"CROSS","")</x:f>
        <x:v>CROSS</x:v>
      </x:c>
      <x:c r="H16" s="87" t="n">
        <x:v>10</x:v>
      </x:c>
      <x:c r="I16" s="110" t="n">
        <x:f>H16*CARROT_HOURS*WEEKS*(1+CARROT_DIM)^H16</x:f>
        <x:v>383.8717531136034</x:v>
      </x:c>
      <x:c r="J16" s="117" t="n">
        <x:f>MIN(I16,FARMER_HOURS)*FARMER_RATE+MAX(I16-FARMER_HOURS,0)*TEMP_RATE</x:f>
        <x:v>13328.02726810431</x:v>
      </x:c>
      <x:c r="K16" s="117" t="n">
        <x:f>J16+H16*CARROT_FERTILIZER</x:f>
        <x:v>17728.02726810431</x:v>
      </x:c>
      <x:c r="L16" s="117" t="n">
        <x:f>K16-K15</x:f>
        <x:v>2065.3691790371086</x:v>
      </x:c>
      <x:c r="M16" s="117" t="n">
        <x:f>CARROT_PRICE</x:f>
        <x:v>2094</x:v>
      </x:c>
      <x:c r="N16" s="87" t="str">
        <x:f>IF(AND(L16&lt;=M16,L17&gt;M16),"CROSS","")</x:f>
        <x:v>CROSS</x:v>
      </x:c>
      <x:c r="O16" s="87" t="n">
        <x:v>10</x:v>
      </x:c>
      <x:c r="P16" s="110" t="n">
        <x:f>O16*MESCLUN_HOURS*WEEKS*(1+MESCLUN_DIM)^O16</x:f>
        <x:v>509.5218733489155</x:v>
      </x:c>
      <x:c r="Q16" s="117" t="n">
        <x:f>MIN(P16,FARMER_HOURS)*FARMER_RATE+MAX(P16-FARMER_HOURS,0)*TEMP_RATE</x:f>
        <x:v>17690.599442674345</x:v>
      </x:c>
      <x:c r="R16" s="117" t="n">
        <x:f>Q16+O16*MESCLUN_FERTILIZER</x:f>
        <x:v>26490.599442674345</x:v>
      </x:c>
      <x:c r="S16" s="117" t="n">
        <x:f>R16-R15</x:f>
        <x:v>2845.6221602971455</x:v>
      </x:c>
      <x:c r="T16" s="117" t="n">
        <x:f>MESCLUN_PRICE</x:f>
        <x:v>2700</x:v>
      </x:c>
      <x:c r="U16" s="87" t="str">
        <x:f>IF(AND(S16&lt;=T16,S17&gt;T16),"CROSS","")</x:f>
      </x:c>
    </x:row>
    <x:row r="17">
      <x:c r="A17" s="87" t="n">
        <x:v>11</x:v>
      </x:c>
      <x:c r="B17" s="110" t="n">
        <x:f>A17*TOMATO_HOURS*WEEKS*(1+TOMATO_DIM)^A17</x:f>
        <x:v>2824.5855390489023</x:v>
      </x:c>
      <x:c r="C17" s="117" t="n">
        <x:f>MIN(B17,FARMER_HOURS)*FARMER_RATE+MAX(B17-FARMER_HOURS,0)*TEMP_RATE</x:f>
        <x:v>61534.004957888945</x:v>
      </x:c>
      <x:c r="D17" s="117" t="n">
        <x:f>C17+A17*TOMATO_FERTILIZER</x:f>
        <x:v>71214.00495788894</x:v>
      </x:c>
      <x:c r="E17" s="117" t="n">
        <x:f>D17-D16</x:f>
        <x:v>9390.172761286514</x:v>
      </x:c>
      <x:c r="F17" s="117" t="n">
        <x:f>TOMATO_PRICE</x:f>
        <x:v>8800</x:v>
      </x:c>
      <x:c r="G17" s="87" t="str">
        <x:f>IF(AND(E17&lt;=F17,E18&gt;F17),"CROSS","")</x:f>
      </x:c>
      <x:c r="H17" s="87" t="n">
        <x:v>11</x:v>
      </x:c>
      <x:c r="I17" s="110" t="n">
        <x:f>H17*CARROT_HOURS*WEEKS*(1+CARROT_DIM)^H17</x:f>
        <x:v>432.8154016355879</x:v>
      </x:c>
      <x:c r="J17" s="117" t="n">
        <x:f>MIN(I17,FARMER_HOURS)*FARMER_RATE+MAX(I17-FARMER_HOURS,0)*TEMP_RATE</x:f>
        <x:v>15027.35074478761</x:v>
      </x:c>
      <x:c r="K17" s="117" t="n">
        <x:f>J17+H17*CARROT_FERTILIZER</x:f>
        <x:v>19867.35074478761</x:v>
      </x:c>
      <x:c r="L17" s="117" t="n">
        <x:f>K17-K16</x:f>
        <x:v>2139.323476683301</x:v>
      </x:c>
      <x:c r="M17" s="117" t="n">
        <x:f>CARROT_PRICE</x:f>
        <x:v>2094</x:v>
      </x:c>
      <x:c r="N17" s="87" t="str">
        <x:f>IF(AND(L17&lt;=M17,L18&gt;M17),"CROSS","")</x:f>
      </x:c>
      <x:c r="O17" s="87" t="n">
        <x:v>11</x:v>
      </x:c>
      <x:c r="P17" s="110" t="n">
        <x:f>O17*MESCLUN_HOURS*WEEKS*(1+MESCLUN_DIM)^O17</x:f>
        <x:v>567.4799864423546</x:v>
      </x:c>
      <x:c r="Q17" s="117" t="n">
        <x:f>MIN(P17,FARMER_HOURS)*FARMER_RATE+MAX(P17-FARMER_HOURS,0)*TEMP_RATE</x:f>
        <x:v>19702.90512927855</x:v>
      </x:c>
      <x:c r="R17" s="117" t="n">
        <x:f>Q17+O17*MESCLUN_FERTILIZER</x:f>
        <x:v>29382.90512927855</x:v>
      </x:c>
      <x:c r="S17" s="117" t="n">
        <x:f>R17-R16</x:f>
        <x:v>2892.305686604206</x:v>
      </x:c>
      <x:c r="T17" s="117" t="n">
        <x:f>MESCLUN_PRICE</x:f>
        <x:v>2700</x:v>
      </x:c>
      <x:c r="U17" s="87" t="str">
        <x:f>IF(AND(S17&lt;=T17,S18&gt;T17),"CROSS","")</x:f>
      </x:c>
    </x:row>
    <x:row r="18">
      <x:c r="A18" s="87" t="n">
        <x:v>12</x:v>
      </x:c>
      <x:c r="B18" s="110" t="n">
        <x:f>A18*TOMATO_HOURS*WEEKS*(1+TOMATO_DIM)^A18</x:f>
        <x:v>3389.5026468586834</x:v>
      </x:c>
      <x:c r="C18" s="117" t="n">
        <x:f>MIN(B18,FARMER_HOURS)*FARMER_RATE+MAX(B18-FARMER_HOURS,0)*TEMP_RATE</x:f>
        <x:v>71340.96594946674</x:v>
      </x:c>
      <x:c r="D18" s="117" t="n">
        <x:f>C18+A18*TOMATO_FERTILIZER</x:f>
        <x:v>81900.96594946674</x:v>
      </x:c>
      <x:c r="E18" s="117" t="n">
        <x:f>D18-D17</x:f>
        <x:v>10686.960991577798</x:v>
      </x:c>
      <x:c r="F18" s="117" t="n">
        <x:f>TOMATO_PRICE</x:f>
        <x:v>8800</x:v>
      </x:c>
      <x:c r="G18" s="87" t="str">
        <x:f>IF(AND(E18&lt;=F18,E19&gt;F18),"CROSS","")</x:f>
      </x:c>
      <x:c r="H18" s="87" t="n">
        <x:v>12</x:v>
      </x:c>
      <x:c r="I18" s="110" t="n">
        <x:f>H18*CARROT_HOURS*WEEKS*(1+CARROT_DIM)^H18</x:f>
        <x:v>483.9663127379754</x:v>
      </x:c>
      <x:c r="J18" s="117" t="n">
        <x:f>MIN(I18,FARMER_HOURS)*FARMER_RATE+MAX(I18-FARMER_HOURS,0)*TEMP_RATE</x:f>
        <x:v>16803.310378262504</x:v>
      </x:c>
      <x:c r="K18" s="117" t="n">
        <x:f>J18+H18*CARROT_FERTILIZER</x:f>
        <x:v>22083.310378262504</x:v>
      </x:c>
      <x:c r="L18" s="117" t="n">
        <x:f>K18-K17</x:f>
        <x:v>2215.959633474893</x:v>
      </x:c>
      <x:c r="M18" s="117" t="n">
        <x:f>CARROT_PRICE</x:f>
        <x:v>2094</x:v>
      </x:c>
      <x:c r="N18" s="87" t="str">
        <x:f>IF(AND(L18&lt;=M18,L19&gt;M18),"CROSS","")</x:f>
      </x:c>
      <x:c r="O18" s="87" t="n">
        <x:v>12</x:v>
      </x:c>
      <x:c r="P18" s="110" t="n">
        <x:f>O18*MESCLUN_HOURS*WEEKS*(1+MESCLUN_DIM)^O18</x:f>
        <x:v>626.807439570419</x:v>
      </x:c>
      <x:c r="Q18" s="117" t="n">
        <x:f>MIN(P18,FARMER_HOURS)*FARMER_RATE+MAX(P18-FARMER_HOURS,0)*TEMP_RATE</x:f>
        <x:v>21762.754301884946</x:v>
      </x:c>
      <x:c r="R18" s="117" t="n">
        <x:f>Q18+O18*MESCLUN_FERTILIZER</x:f>
        <x:v>32322.754301884946</x:v>
      </x:c>
      <x:c r="S18" s="117" t="n">
        <x:f>R18-R17</x:f>
        <x:v>2939.849172606395</x:v>
      </x:c>
      <x:c r="T18" s="117" t="n">
        <x:f>MESCLUN_PRICE</x:f>
        <x:v>2700</x:v>
      </x:c>
      <x:c r="U18" s="87" t="str">
        <x:f>IF(AND(S18&lt;=T18,S19&gt;T18),"CROSS","")</x:f>
      </x:c>
    </x:row>
    <x:row r="19">
      <x:c r="A19" s="87" t="n">
        <x:v>13</x:v>
      </x:c>
      <x:c r="B19" s="110" t="n">
        <x:f>A19*TOMATO_HOURS*WEEKS*(1+TOMATO_DIM)^A19</x:f>
        <x:v>4039.1573208399313</x:v>
      </x:c>
      <x:c r="C19" s="117" t="n">
        <x:f>MIN(B19,FARMER_HOURS)*FARMER_RATE+MAX(B19-FARMER_HOURS,0)*TEMP_RATE</x:f>
        <x:v>82618.9710897812</x:v>
      </x:c>
      <x:c r="D19" s="117" t="n">
        <x:f>C19+A19*TOMATO_FERTILIZER</x:f>
        <x:v>94058.9710897812</x:v>
      </x:c>
      <x:c r="E19" s="117" t="n">
        <x:f>D19-D18</x:f>
        <x:v>12158.00514031446</x:v>
      </x:c>
      <x:c r="F19" s="117" t="n">
        <x:f>TOMATO_PRICE</x:f>
        <x:v>8800</x:v>
      </x:c>
      <x:c r="G19" s="87" t="str">
        <x:f>IF(AND(E19&lt;=F19,E20&gt;F19),"CROSS","")</x:f>
      </x:c>
      <x:c r="H19" s="87" t="n">
        <x:v>13</x:v>
      </x:c>
      <x:c r="I19" s="110" t="n">
        <x:f>H19*CARROT_HOURS*WEEKS*(1+CARROT_DIM)^H19</x:f>
        <x:v>537.40425976946</x:v>
      </x:c>
      <x:c r="J19" s="117" t="n">
        <x:f>MIN(I19,FARMER_HOURS)*FARMER_RATE+MAX(I19-FARMER_HOURS,0)*TEMP_RATE</x:f>
        <x:v>18658.675899195652</x:v>
      </x:c>
      <x:c r="K19" s="117" t="n">
        <x:f>J19+H19*CARROT_FERTILIZER</x:f>
        <x:v>24378.675899195652</x:v>
      </x:c>
      <x:c r="L19" s="117" t="n">
        <x:f>K19-K18</x:f>
        <x:v>2295.365520933148</x:v>
      </x:c>
      <x:c r="M19" s="117" t="n">
        <x:f>CARROT_PRICE</x:f>
        <x:v>2094</x:v>
      </x:c>
      <x:c r="N19" s="87" t="str">
        <x:f>IF(AND(L19&lt;=M19,L20&gt;M19),"CROSS","")</x:f>
      </x:c>
      <x:c r="O19" s="87" t="n">
        <x:v>13</x:v>
      </x:c>
      <x:c r="P19" s="110" t="n">
        <x:f>O19*MESCLUN_HOURS*WEEKS*(1+MESCLUN_DIM)^O19</x:f>
        <x:v>687.5294102788033</x:v>
      </x:c>
      <x:c r="Q19" s="117" t="n">
        <x:f>MIN(P19,FARMER_HOURS)*FARMER_RATE+MAX(P19-FARMER_HOURS,0)*TEMP_RATE</x:f>
        <x:v>23871.02112488005</x:v>
      </x:c>
      <x:c r="R19" s="117" t="n">
        <x:f>Q19+O19*MESCLUN_FERTILIZER</x:f>
        <x:v>35311.02112488005</x:v>
      </x:c>
      <x:c r="S19" s="117" t="n">
        <x:f>R19-R18</x:f>
        <x:v>2988.2668229951014</x:v>
      </x:c>
      <x:c r="T19" s="117" t="n">
        <x:f>MESCLUN_PRICE</x:f>
        <x:v>2700</x:v>
      </x:c>
      <x:c r="U19" s="87" t="str">
        <x:f>IF(AND(S19&lt;=T19,S20&gt;T19),"CROSS","")</x:f>
      </x:c>
    </x:row>
    <x:row r="20">
      <x:c r="A20" s="87" t="n">
        <x:v>14</x:v>
      </x:c>
      <x:c r="B20" s="110" t="n">
        <x:f>A20*TOMATO_HOURS*WEEKS*(1+TOMATO_DIM)^A20</x:f>
        <x:v>4784.847903148842</x:v>
      </x:c>
      <x:c r="C20" s="117" t="n">
        <x:f>MIN(B20,FARMER_HOURS)*FARMER_RATE+MAX(B20-FARMER_HOURS,0)*TEMP_RATE</x:f>
        <x:v>95564.1595986639</x:v>
      </x:c>
      <x:c r="D20" s="117" t="n">
        <x:f>C20+A20*TOMATO_FERTILIZER</x:f>
        <x:v>107884.1595986639</x:v>
      </x:c>
      <x:c r="E20" s="117" t="n">
        <x:f>D20-D19</x:f>
        <x:v>13825.188508882697</x:v>
      </x:c>
      <x:c r="F20" s="117" t="n">
        <x:f>TOMATO_PRICE</x:f>
        <x:v>8800</x:v>
      </x:c>
      <x:c r="G20" s="87" t="str">
        <x:f>IF(AND(E20&lt;=F20,E21&gt;F20),"CROSS","")</x:f>
      </x:c>
      <x:c r="H20" s="87" t="n">
        <x:v>14</x:v>
      </x:c>
      <x:c r="I20" s="110" t="n">
        <x:f>H20*CARROT_HOURS*WEEKS*(1+CARROT_DIM)^H20</x:f>
        <x:v>593.211625207058</x:v>
      </x:c>
      <x:c r="J20" s="117" t="n">
        <x:f>MIN(I20,FARMER_HOURS)*FARMER_RATE+MAX(I20-FARMER_HOURS,0)*TEMP_RATE</x:f>
        <x:v>20596.307627189053</x:v>
      </x:c>
      <x:c r="K20" s="117" t="n">
        <x:f>J20+H20*CARROT_FERTILIZER</x:f>
        <x:v>26756.307627189053</x:v>
      </x:c>
      <x:c r="L20" s="117" t="n">
        <x:f>K20-K19</x:f>
        <x:v>2377.631727993401</x:v>
      </x:c>
      <x:c r="M20" s="117" t="n">
        <x:f>CARROT_PRICE</x:f>
        <x:v>2094</x:v>
      </x:c>
      <x:c r="N20" s="87" t="str">
        <x:f>IF(AND(L20&lt;=M20,L21&gt;M20),"CROSS","")</x:f>
      </x:c>
      <x:c r="O20" s="87" t="n">
        <x:v>14</x:v>
      </x:c>
      <x:c r="P20" s="110" t="n">
        <x:f>O20*MESCLUN_HOURS*WEEKS*(1+MESCLUN_DIM)^O20</x:f>
        <x:v>749.6714915924643</x:v>
      </x:c>
      <x:c r="Q20" s="117" t="n">
        <x:f>MIN(P20,FARMER_HOURS)*FARMER_RATE+MAX(P20-FARMER_HOURS,0)*TEMP_RATE</x:f>
        <x:v>25513.49709404518</x:v>
      </x:c>
      <x:c r="R20" s="117" t="n">
        <x:f>Q20+O20*MESCLUN_FERTILIZER</x:f>
        <x:v>37833.497094045175</x:v>
      </x:c>
      <x:c r="S20" s="117" t="n">
        <x:f>R20-R19</x:f>
        <x:v>2522.475969165127</x:v>
      </x:c>
      <x:c r="T20" s="117" t="n">
        <x:f>MESCLUN_PRICE</x:f>
        <x:v>2700</x:v>
      </x:c>
      <x:c r="U20" s="87" t="str">
        <x:f>IF(AND(S20&lt;=T20,S21&gt;T20),"CROSS","")</x:f>
      </x:c>
    </x:row>
    <x:row r="21">
      <x:c r="A21" s="87" t="n">
        <x:v>15</x:v>
      </x:c>
      <x:c r="B21" s="110" t="n">
        <x:f>A21*TOMATO_HOURS*WEEKS*(1+TOMATO_DIM)^A21</x:f>
        <x:v>5639.285028711136</x:v>
      </x:c>
      <x:c r="C21" s="117" t="n">
        <x:f>MIN(B21,FARMER_HOURS)*FARMER_RATE+MAX(B21-FARMER_HOURS,0)*TEMP_RATE</x:f>
        <x:v>110397.18809842531</x:v>
      </x:c>
      <x:c r="D21" s="117" t="n">
        <x:f>C21+A21*TOMATO_FERTILIZER</x:f>
        <x:v>123597.18809842531</x:v>
      </x:c>
      <x:c r="E21" s="117" t="n">
        <x:f>D21-D20</x:f>
        <x:v>15713.028499761407</x:v>
      </x:c>
      <x:c r="F21" s="117" t="n">
        <x:f>TOMATO_PRICE</x:f>
        <x:v>8800</x:v>
      </x:c>
      <x:c r="G21" s="87" t="str">
        <x:f>IF(AND(E21&lt;=F21,E22&gt;F21),"CROSS","")</x:f>
      </x:c>
      <x:c r="H21" s="87" t="n">
        <x:v>15</x:v>
      </x:c>
      <x:c r="I21" s="110" t="n">
        <x:f>H21*CARROT_HOURS*WEEKS*(1+CARROT_DIM)^H21</x:f>
        <x:v>651.4734812541797</x:v>
      </x:c>
      <x:c r="J21" s="117" t="n">
        <x:f>MIN(I21,FARMER_HOURS)*FARMER_RATE+MAX(I21-FARMER_HOURS,0)*TEMP_RATE</x:f>
        <x:v>22619.15926914512</x:v>
      </x:c>
      <x:c r="K21" s="117" t="n">
        <x:f>J21+H21*CARROT_FERTILIZER</x:f>
        <x:v>29219.15926914512</x:v>
      </x:c>
      <x:c r="L21" s="117" t="n">
        <x:f>K21-K20</x:f>
        <x:v>2462.8516419560656</x:v>
      </x:c>
      <x:c r="M21" s="117" t="n">
        <x:f>CARROT_PRICE</x:f>
        <x:v>2094</x:v>
      </x:c>
      <x:c r="N21" s="87" t="str">
        <x:f>IF(AND(L21&lt;=M21,L22&gt;M21),"CROSS","")</x:f>
      </x:c>
      <x:c r="O21" s="87" t="n">
        <x:v>15</x:v>
      </x:c>
      <x:c r="P21" s="110" t="n">
        <x:f>O21*MESCLUN_HOURS*WEEKS*(1+MESCLUN_DIM)^O21</x:f>
        <x:v>813.2596984686107</x:v>
      </x:c>
      <x:c r="Q21" s="117" t="n">
        <x:f>MIN(P21,FARMER_HOURS)*FARMER_RATE+MAX(P21-FARMER_HOURS,0)*TEMP_RATE</x:f>
        <x:v>26617.38836541508</x:v>
      </x:c>
      <x:c r="R21" s="117" t="n">
        <x:f>Q21+O21*MESCLUN_FERTILIZER</x:f>
        <x:v>39817.388365415085</x:v>
      </x:c>
      <x:c r="S21" s="117" t="n">
        <x:f>R21-R20</x:f>
        <x:v>1983.89127136991</x:v>
      </x:c>
      <x:c r="T21" s="117" t="n">
        <x:f>MESCLUN_PRICE</x:f>
        <x:v>2700</x:v>
      </x:c>
      <x:c r="U21" s="87" t="str">
        <x:f>IF(AND(S21&lt;=T21,S22&gt;T21),"CROSS","")</x:f>
      </x:c>
    </x:row>
    <x:row r="22">
      <x:c r="A22" s="87" t="n">
        <x:v>16</x:v>
      </x:c>
      <x:c r="B22" s="110" t="n">
        <x:f>A22*TOMATO_HOURS*WEEKS*(1+TOMATO_DIM)^A22</x:f>
        <x:v>6616.7611003544</x:v>
      </x:c>
      <x:c r="C22" s="117" t="n">
        <x:f>MIN(B22,FARMER_HOURS)*FARMER_RATE+MAX(B22-FARMER_HOURS,0)*TEMP_RATE</x:f>
        <x:v>127366.17270215237</x:v>
      </x:c>
      <x:c r="D22" s="117" t="n">
        <x:f>C22+A22*TOMATO_FERTILIZER</x:f>
        <x:v>141446.17270215237</x:v>
      </x:c>
      <x:c r="E22" s="117" t="n">
        <x:f>D22-D21</x:f>
        <x:v>17848.98460372706</x:v>
      </x:c>
      <x:c r="F22" s="117" t="n">
        <x:f>TOMATO_PRICE</x:f>
        <x:v>8800</x:v>
      </x:c>
      <x:c r="G22" s="87" t="str">
        <x:f>IF(AND(E22&lt;=F22,E23&gt;F22),"CROSS","")</x:f>
      </x:c>
      <x:c r="H22" s="87" t="n">
        <x:v>16</x:v>
      </x:c>
      <x:c r="I22" s="110" t="n">
        <x:f>H22*CARROT_HOURS*WEEKS*(1+CARROT_DIM)^H22</x:f>
        <x:v>712.2776728379031</x:v>
      </x:c>
      <x:c r="J22" s="117" t="n">
        <x:f>MIN(I22,FARMER_HOURS)*FARMER_RATE+MAX(I22-FARMER_HOURS,0)*TEMP_RATE</x:f>
        <x:v>24730.280800931992</x:v>
      </x:c>
      <x:c r="K22" s="117" t="n">
        <x:f>J22+H22*CARROT_FERTILIZER</x:f>
        <x:v>31770.280800931992</x:v>
      </x:c>
      <x:c r="L22" s="117" t="n">
        <x:f>K22-K21</x:f>
        <x:v>2551.1215317868737</x:v>
      </x:c>
      <x:c r="M22" s="117" t="n">
        <x:f>CARROT_PRICE</x:f>
        <x:v>2094</x:v>
      </x:c>
      <x:c r="N22" s="87" t="str">
        <x:f>IF(AND(L22&lt;=M22,L23&gt;M22),"CROSS","")</x:f>
      </x:c>
      <x:c r="O22" s="87" t="n">
        <x:v>16</x:v>
      </x:c>
      <x:c r="P22" s="110" t="n">
        <x:f>O22*MESCLUN_HOURS*WEEKS*(1+MESCLUN_DIM)^O22</x:f>
        <x:v>878.3204743460997</x:v>
      </x:c>
      <x:c r="Q22" s="117" t="n">
        <x:f>MIN(P22,FARMER_HOURS)*FARMER_RATE+MAX(P22-FARMER_HOURS,0)*TEMP_RATE</x:f>
        <x:v>27746.84343464829</x:v>
      </x:c>
      <x:c r="R22" s="117" t="n">
        <x:f>Q22+O22*MESCLUN_FERTILIZER</x:f>
        <x:v>41826.84343464829</x:v>
      </x:c>
      <x:c r="S22" s="117" t="n">
        <x:f>R22-R21</x:f>
        <x:v>2009.455069233205</x:v>
      </x:c>
      <x:c r="T22" s="117" t="n">
        <x:f>MESCLUN_PRICE</x:f>
        <x:v>2700</x:v>
      </x:c>
      <x:c r="U22" s="87" t="str">
        <x:f>IF(AND(S22&lt;=T22,S23&gt;T22),"CROSS","")</x:f>
      </x:c>
    </x:row>
    <x:row r="23">
      <x:c r="A23" s="87" t="n">
        <x:v>17</x:v>
      </x:c>
      <x:c r="B23" s="110" t="n">
        <x:f>A23*TOMATO_HOURS*WEEKS*(1+TOMATO_DIM)^A23</x:f>
        <x:v>7733.339536039206</x:v>
      </x:c>
      <x:c r="C23" s="117" t="n">
        <x:f>MIN(B23,FARMER_HOURS)*FARMER_RATE+MAX(B23-FARMER_HOURS,0)*TEMP_RATE</x:f>
        <x:v>146749.9743456406</x:v>
      </x:c>
      <x:c r="D23" s="117" t="n">
        <x:f>C23+A23*TOMATO_FERTILIZER</x:f>
        <x:v>161709.9743456406</x:v>
      </x:c>
      <x:c r="E23" s="117" t="n">
        <x:f>D23-D22</x:f>
        <x:v>20263.80164348823</x:v>
      </x:c>
      <x:c r="F23" s="117" t="n">
        <x:f>TOMATO_PRICE</x:f>
        <x:v>8800</x:v>
      </x:c>
      <x:c r="G23" s="87" t="str">
        <x:f>IF(AND(E23&lt;=F23,E24&gt;F23),"CROSS","")</x:f>
      </x:c>
      <x:c r="H23" s="87" t="n">
        <x:v>17</x:v>
      </x:c>
      <x:c r="I23" s="110" t="n">
        <x:f>H23*CARROT_HOURS*WEEKS*(1+CARROT_DIM)^H23</x:f>
        <x:v>775.7149030750287</x:v>
      </x:c>
      <x:c r="J23" s="117" t="n">
        <x:f>MIN(I23,FARMER_HOURS)*FARMER_RATE+MAX(I23-FARMER_HOURS,0)*TEMP_RATE</x:f>
        <x:v>25965.610717382497</x:v>
      </x:c>
      <x:c r="K23" s="117" t="n">
        <x:f>J23+H23*CARROT_FERTILIZER</x:f>
        <x:v>33445.6107173825</x:v>
      </x:c>
      <x:c r="L23" s="117" t="n">
        <x:f>K23-K22</x:f>
        <x:v>1675.3299164505079</x:v>
      </x:c>
      <x:c r="M23" s="117" t="n">
        <x:f>CARROT_PRICE</x:f>
        <x:v>2094</x:v>
      </x:c>
      <x:c r="N23" s="87" t="str">
        <x:f>IF(AND(L23&lt;=M23,L24&gt;M23),"CROSS","")</x:f>
      </x:c>
      <x:c r="O23" s="87" t="n">
        <x:v>17</x:v>
      </x:c>
      <x:c r="P23" s="110" t="n">
        <x:f>O23*MESCLUN_HOURS*WEEKS*(1+MESCLUN_DIM)^O23</x:f>
        <x:v>944.8806977926399</x:v>
      </x:c>
      <x:c r="Q23" s="117" t="n">
        <x:f>MIN(P23,FARMER_HOURS)*FARMER_RATE+MAX(P23-FARMER_HOURS,0)*TEMP_RATE</x:f>
        <x:v>28902.328913680227</x:v>
      </x:c>
      <x:c r="R23" s="117" t="n">
        <x:f>Q23+O23*MESCLUN_FERTILIZER</x:f>
        <x:v>43862.32891368023</x:v>
      </x:c>
      <x:c r="S23" s="117" t="n">
        <x:f>R23-R22</x:f>
        <x:v>2035.4854790319368</x:v>
      </x:c>
      <x:c r="T23" s="117" t="n">
        <x:f>MESCLUN_PRICE</x:f>
        <x:v>2700</x:v>
      </x:c>
      <x:c r="U23" s="87" t="str">
        <x:f>IF(AND(S23&lt;=T23,S24&gt;T23),"CROSS","")</x:f>
      </x:c>
    </x:row>
    <x:row r="24">
      <x:c r="A24" s="87" t="n">
        <x:v>18</x:v>
      </x:c>
      <x:c r="B24" s="110" t="n">
        <x:f>A24*TOMATO_HOURS*WEEKS*(1+TOMATO_DIM)^A24</x:f>
        <x:v>9007.066047857428</x:v>
      </x:c>
      <x:c r="C24" s="117" t="n">
        <x:f>MIN(B24,FARMER_HOURS)*FARMER_RATE+MAX(B24-FARMER_HOURS,0)*TEMP_RATE</x:f>
        <x:v>168861.86659080494</x:v>
      </x:c>
      <x:c r="D24" s="117" t="n">
        <x:f>C24+A24*TOMATO_FERTILIZER</x:f>
        <x:v>184701.86659080494</x:v>
      </x:c>
      <x:c r="E24" s="117" t="n">
        <x:f>D24-D23</x:f>
        <x:v>22991.892245164345</x:v>
      </x:c>
      <x:c r="F24" s="117" t="n">
        <x:f>TOMATO_PRICE</x:f>
        <x:v>8800</x:v>
      </x:c>
      <x:c r="G24" s="87" t="str">
        <x:f>IF(AND(E24&lt;=F24,E25&gt;F24),"CROSS","")</x:f>
      </x:c>
      <x:c r="H24" s="87" t="n">
        <x:v>18</x:v>
      </x:c>
      <x:c r="I24" s="110" t="n">
        <x:f>H24*CARROT_HOURS*WEEKS*(1+CARROT_DIM)^H24</x:f>
        <x:v>841.878821278487</x:v>
      </x:c>
      <x:c r="J24" s="117" t="n">
        <x:f>MIN(I24,FARMER_HOURS)*FARMER_RATE+MAX(I24-FARMER_HOURS,0)*TEMP_RATE</x:f>
        <x:v>27114.21633739453</x:v>
      </x:c>
      <x:c r="K24" s="117" t="n">
        <x:f>J24+H24*CARROT_FERTILIZER</x:f>
        <x:v>35034.21633739453</x:v>
      </x:c>
      <x:c r="L24" s="117" t="n">
        <x:f>K24-K23</x:f>
        <x:v>1588.6056200120292</x:v>
      </x:c>
      <x:c r="M24" s="117" t="n">
        <x:f>CARROT_PRICE</x:f>
        <x:v>2094</x:v>
      </x:c>
      <x:c r="N24" s="87" t="str">
        <x:f>IF(AND(L24&lt;=M24,L25&gt;M24),"CROSS","")</x:f>
      </x:c>
      <x:c r="O24" s="87" t="n">
        <x:v>18</x:v>
      </x:c>
      <x:c r="P24" s="110" t="n">
        <x:f>O24*MESCLUN_HOURS*WEEKS*(1+MESCLUN_DIM)^O24</x:f>
        <x:v>1012.9676892512272</x:v>
      </x:c>
      <x:c r="Q24" s="117" t="n">
        <x:f>MIN(P24,FARMER_HOURS)*FARMER_RATE+MAX(P24-FARMER_HOURS,0)*TEMP_RATE</x:f>
        <x:v>30084.3190854013</x:v>
      </x:c>
      <x:c r="R24" s="117" t="n">
        <x:f>Q24+O24*MESCLUN_FERTILIZER</x:f>
        <x:v>45924.3190854013</x:v>
      </x:c>
      <x:c r="S24" s="117" t="n">
        <x:f>R24-R23</x:f>
        <x:v>2061.990171721074</x:v>
      </x:c>
      <x:c r="T24" s="117" t="n">
        <x:f>MESCLUN_PRICE</x:f>
        <x:v>2700</x:v>
      </x:c>
      <x:c r="U24" s="87" t="str">
        <x:f>IF(AND(S24&lt;=T24,S25&gt;T24),"CROSS","")</x:f>
      </x:c>
    </x:row>
    <x:row r="25">
      <x:c r="A25" s="87" t="n">
        <x:v>19</x:v>
      </x:c>
      <x:c r="B25" s="110" t="n">
        <x:f>A25*TOMATO_HOURS*WEEKS*(1+TOMATO_DIM)^A25</x:f>
        <x:v>10458.204466678904</x:v>
      </x:c>
      <x:c r="C25" s="117" t="n">
        <x:f>MIN(B25,FARMER_HOURS)*FARMER_RATE+MAX(B25-FARMER_HOURS,0)*TEMP_RATE</x:f>
        <x:v>194053.62954154576</x:v>
      </x:c>
      <x:c r="D25" s="117" t="n">
        <x:f>C25+A25*TOMATO_FERTILIZER</x:f>
        <x:v>210773.62954154576</x:v>
      </x:c>
      <x:c r="E25" s="117" t="n">
        <x:f>D25-D24</x:f>
        <x:v>26071.762950740813</x:v>
      </x:c>
      <x:c r="F25" s="117" t="n">
        <x:f>TOMATO_PRICE</x:f>
        <x:v>8800</x:v>
      </x:c>
      <x:c r="G25" s="87" t="str">
        <x:f>IF(AND(E25&lt;=F25,E26&gt;F25),"CROSS","")</x:f>
      </x:c>
      <x:c r="H25" s="87" t="n">
        <x:v>19</x:v>
      </x:c>
      <x:c r="I25" s="110" t="n">
        <x:f>H25*CARROT_HOURS*WEEKS*(1+CARROT_DIM)^H25</x:f>
        <x:v>910.8661135776963</x:v>
      </x:c>
      <x:c r="J25" s="117" t="n">
        <x:f>MIN(I25,FARMER_HOURS)*FARMER_RATE+MAX(I25-FARMER_HOURS,0)*TEMP_RATE</x:f>
        <x:v>28311.835731708805</x:v>
      </x:c>
      <x:c r="K25" s="117" t="n">
        <x:f>J25+H25*CARROT_FERTILIZER</x:f>
        <x:v>36671.83573170881</x:v>
      </x:c>
      <x:c r="L25" s="117" t="n">
        <x:f>K25-K24</x:f>
        <x:v>1637.619394314279</x:v>
      </x:c>
      <x:c r="M25" s="117" t="n">
        <x:f>CARROT_PRICE</x:f>
        <x:v>2094</x:v>
      </x:c>
      <x:c r="N25" s="87" t="str">
        <x:f>IF(AND(L25&lt;=M25,L26&gt;M25),"CROSS","")</x:f>
      </x:c>
      <x:c r="O25" s="87" t="n">
        <x:v>19</x:v>
      </x:c>
      <x:c r="P25" s="110" t="n">
        <x:f>O25*MESCLUN_HOURS*WEEKS*(1+MESCLUN_DIM)^O25</x:f>
        <x:v>1082.609217887249</x:v>
      </x:c>
      <x:c r="Q25" s="117" t="n">
        <x:f>MIN(P25,FARMER_HOURS)*FARMER_RATE+MAX(P25-FARMER_HOURS,0)*TEMP_RATE</x:f>
        <x:v>31293.29602252264</x:v>
      </x:c>
      <x:c r="R25" s="117" t="n">
        <x:f>Q25+O25*MESCLUN_FERTILIZER</x:f>
        <x:v>48013.29602252264</x:v>
      </x:c>
      <x:c r="S25" s="117" t="n">
        <x:f>R25-R24</x:f>
        <x:v>2088.9769371213406</x:v>
      </x:c>
      <x:c r="T25" s="117" t="n">
        <x:f>MESCLUN_PRICE</x:f>
        <x:v>2700</x:v>
      </x:c>
      <x:c r="U25" s="87" t="str">
        <x:f>IF(AND(S25&lt;=T25,S26&gt;T25),"CROSS","")</x:f>
      </x:c>
    </x:row>
    <x:row r="26">
      <x:c r="A26" s="91" t="n">
        <x:v>20</x:v>
      </x:c>
      <x:c r="B26" s="112" t="n">
        <x:f>A26*TOMATO_HOURS*WEEKS*(1+TOMATO_DIM)^A26</x:f>
        <x:v>12109.4999087861</x:v>
      </x:c>
      <x:c r="C26" s="124" t="n">
        <x:f>MIN(B26,FARMER_HOURS)*FARMER_RATE+MAX(B26-FARMER_HOURS,0)*TEMP_RATE</x:f>
        <x:v>222720.11841652667</x:v>
      </x:c>
      <x:c r="D26" s="124" t="n">
        <x:f>C26+A26*TOMATO_FERTILIZER</x:f>
        <x:v>240320.11841652667</x:v>
      </x:c>
      <x:c r="E26" s="124" t="n">
        <x:f>D26-D25</x:f>
        <x:v>29546.488874980918</x:v>
      </x:c>
      <x:c r="F26" s="124" t="n">
        <x:f>TOMATO_PRICE</x:f>
        <x:v>8800</x:v>
      </x:c>
      <x:c r="G26" s="91" t="str">
        <x:f>""</x:f>
      </x:c>
      <x:c r="H26" s="91" t="n">
        <x:v>20</x:v>
      </x:c>
      <x:c r="I26" s="112" t="n">
        <x:f>H26*CARROT_HOURS*WEEKS*(1+CARROT_DIM)^H26</x:f>
        <x:v>982.7765962285669</x:v>
      </x:c>
      <x:c r="J26" s="124" t="n">
        <x:f>MIN(I26,FARMER_HOURS)*FARMER_RATE+MAX(I26-FARMER_HOURS,0)*TEMP_RATE</x:f>
        <x:v>29560.20171052792</x:v>
      </x:c>
      <x:c r="K26" s="124" t="n">
        <x:f>J26+H26*CARROT_FERTILIZER</x:f>
        <x:v>38360.20171052792</x:v>
      </x:c>
      <x:c r="L26" s="124" t="n">
        <x:f>K26-K25</x:f>
        <x:v>1688.3659788191144</x:v>
      </x:c>
      <x:c r="M26" s="124" t="n">
        <x:f>CARROT_PRICE</x:f>
        <x:v>2094</x:v>
      </x:c>
      <x:c r="N26" s="91" t="str">
        <x:f>""</x:f>
      </x:c>
      <x:c r="O26" s="87" t="n">
        <x:v>20</x:v>
      </x:c>
      <x:c r="P26" s="110" t="n">
        <x:f>O26*MESCLUN_HOURS*WEEKS*(1+MESCLUN_DIM)^O26</x:f>
        <x:v>1153.833508537726</x:v>
      </x:c>
      <x:c r="Q26" s="117" t="n">
        <x:f>MIN(P26,FARMER_HOURS)*FARMER_RATE+MAX(P26-FARMER_HOURS,0)*TEMP_RATE</x:f>
        <x:v>32529.74970821492</x:v>
      </x:c>
      <x:c r="R26" s="117" t="n">
        <x:f>Q26+O26*MESCLUN_FERTILIZER</x:f>
        <x:v>50129.74970821492</x:v>
      </x:c>
      <x:c r="S26" s="117" t="n">
        <x:f>R26-R25</x:f>
        <x:v>2116.4536856922787</x:v>
      </x:c>
      <x:c r="T26" s="117" t="n">
        <x:f>MESCLUN_PRICE</x:f>
        <x:v>2700</x:v>
      </x:c>
      <x:c r="U26" s="87" t="str">
        <x:f>IF(AND(S26&lt;=T26,S27&gt;T26),"CROSS","")</x:f>
      </x:c>
    </x:row>
    <x:row r="27">
      <x:c r="A27" s="83"/>
      <x:c r="B27" s="83"/>
      <x:c r="C27" s="83"/>
      <x:c r="D27" s="83"/>
      <x:c r="E27" s="83"/>
      <x:c r="F27" s="83"/>
      <x:c r="G27" s="83"/>
      <x:c r="H27" s="83"/>
      <x:c r="I27" s="83"/>
      <x:c r="J27" s="83"/>
      <x:c r="K27" s="83"/>
      <x:c r="L27" s="83"/>
      <x:c r="M27" s="83"/>
      <x:c r="N27" s="83"/>
      <x:c r="O27" s="87" t="n">
        <x:v>21</x:v>
      </x:c>
      <x:c r="P27" s="110" t="n">
        <x:f>O27*MESCLUN_HOURS*WEEKS*(1+MESCLUN_DIM)^O27</x:f>
        <x:v>1226.6692487641699</x:v>
      </x:c>
      <x:c r="Q27" s="117" t="n">
        <x:f>MIN(P27,FARMER_HOURS)*FARMER_RATE+MAX(P27-FARMER_HOURS,0)*TEMP_RATE</x:f>
        <x:v>33794.17815854598</x:v>
      </x:c>
      <x:c r="R27" s="117" t="n">
        <x:f>Q27+O27*MESCLUN_FERTILIZER</x:f>
        <x:v>52274.17815854598</x:v>
      </x:c>
      <x:c r="S27" s="117" t="n">
        <x:f>R27-R26</x:f>
        <x:v>2144.428450331063</x:v>
      </x:c>
      <x:c r="T27" s="117" t="n">
        <x:f>MESCLUN_PRICE</x:f>
        <x:v>2700</x:v>
      </x:c>
      <x:c r="U27" s="87" t="str">
        <x:f>IF(AND(S27&lt;=T27,S28&gt;T27),"CROSS","")</x:f>
      </x:c>
    </x:row>
    <x:row r="28">
      <x:c r="A28" s="83"/>
      <x:c r="B28" s="83"/>
      <x:c r="C28" s="83"/>
      <x:c r="D28" s="83"/>
      <x:c r="E28" s="83"/>
      <x:c r="F28" s="83"/>
      <x:c r="G28" s="83"/>
      <x:c r="H28" s="83"/>
      <x:c r="I28" s="83"/>
      <x:c r="J28" s="83"/>
      <x:c r="K28" s="83"/>
      <x:c r="L28" s="83"/>
      <x:c r="M28" s="83"/>
      <x:c r="N28" s="83"/>
      <x:c r="O28" s="87" t="n">
        <x:v>22</x:v>
      </x:c>
      <x:c r="P28" s="110" t="n">
        <x:f>O28*MESCLUN_HOURS*WEEKS*(1+MESCLUN_DIM)^O28</x:f>
        <x:v>1301.145596010566</x:v>
      </x:c>
      <x:c r="Q28" s="117" t="n">
        <x:f>MIN(P28,FARMER_HOURS)*FARMER_RATE+MAX(P28-FARMER_HOURS,0)*TEMP_RATE</x:f>
        <x:v>35087.08754674342</x:v>
      </x:c>
      <x:c r="R28" s="117" t="n">
        <x:f>Q28+O28*MESCLUN_FERTILIZER</x:f>
        <x:v>54447.08754674342</x:v>
      </x:c>
      <x:c r="S28" s="117" t="n">
        <x:f>R28-R27</x:f>
        <x:v>2172.9093881974404</x:v>
      </x:c>
      <x:c r="T28" s="117" t="n">
        <x:f>MESCLUN_PRICE</x:f>
        <x:v>2700</x:v>
      </x:c>
      <x:c r="U28" s="87" t="str">
        <x:f>IF(AND(S28&lt;=T28,S29&gt;T28),"CROSS","")</x:f>
      </x:c>
    </x:row>
    <x:row r="29">
      <x:c r="A29" s="83"/>
      <x:c r="B29" s="83"/>
      <x:c r="C29" s="83"/>
      <x:c r="D29" s="83"/>
      <x:c r="E29" s="83"/>
      <x:c r="F29" s="83"/>
      <x:c r="G29" s="83"/>
      <x:c r="H29" s="83"/>
      <x:c r="I29" s="83"/>
      <x:c r="J29" s="83"/>
      <x:c r="K29" s="83"/>
      <x:c r="L29" s="83"/>
      <x:c r="M29" s="83"/>
      <x:c r="N29" s="83"/>
      <x:c r="O29" s="87" t="n">
        <x:v>23</x:v>
      </x:c>
      <x:c r="P29" s="110" t="n">
        <x:f>O29*MESCLUN_HOURS*WEEKS*(1+MESCLUN_DIM)^O29</x:f>
        <x:v>1377.2921848680023</x:v>
      </x:c>
      <x:c r="Q29" s="117" t="n">
        <x:f>MIN(P29,FARMER_HOURS)*FARMER_RATE+MAX(P29-FARMER_HOURS,0)*TEMP_RATE</x:f>
        <x:v>36408.992329308516</x:v>
      </x:c>
      <x:c r="R29" s="117" t="n">
        <x:f>Q29+O29*MESCLUN_FERTILIZER</x:f>
        <x:v>56648.992329308516</x:v>
      </x:c>
      <x:c r="S29" s="117" t="n">
        <x:f>R29-R28</x:f>
        <x:v>2201.9047825650923</x:v>
      </x:c>
      <x:c r="T29" s="117" t="n">
        <x:f>MESCLUN_PRICE</x:f>
        <x:v>2700</x:v>
      </x:c>
      <x:c r="U29" s="87" t="str">
        <x:f>IF(AND(S29&lt;=T29,S30&gt;T29),"CROSS","")</x:f>
      </x:c>
    </x:row>
    <x:row r="30">
      <x:c r="A30" s="83"/>
      <x:c r="B30" s="83"/>
      <x:c r="C30" s="83"/>
      <x:c r="D30" s="83"/>
      <x:c r="E30" s="83"/>
      <x:c r="F30" s="83"/>
      <x:c r="G30" s="83"/>
      <x:c r="H30" s="83"/>
      <x:c r="I30" s="83"/>
      <x:c r="J30" s="83"/>
      <x:c r="K30" s="83"/>
      <x:c r="L30" s="83"/>
      <x:c r="M30" s="83"/>
      <x:c r="N30" s="83"/>
      <x:c r="O30" s="87" t="n">
        <x:v>24</x:v>
      </x:c>
      <x:c r="P30" s="110" t="n">
        <x:f>O30*MESCLUN_HOURS*WEEKS*(1+MESCLUN_DIM)^O30</x:f>
        <x:v>1455.139134447498</x:v>
      </x:c>
      <x:c r="Q30" s="117" t="n">
        <x:f>MIN(P30,FARMER_HOURS)*FARMER_RATE+MAX(P30-FARMER_HOURS,0)*TEMP_RATE</x:f>
        <x:v>37760.41537400856</x:v>
      </x:c>
      <x:c r="R30" s="117" t="n">
        <x:f>Q30+O30*MESCLUN_FERTILIZER</x:f>
        <x:v>58880.41537400856</x:v>
      </x:c>
      <x:c r="S30" s="117" t="n">
        <x:f>R30-R29</x:f>
        <x:v>2231.4230447000446</x:v>
      </x:c>
      <x:c r="T30" s="117" t="n">
        <x:f>MESCLUN_PRICE</x:f>
        <x:v>2700</x:v>
      </x:c>
      <x:c r="U30" s="87" t="str">
        <x:f>IF(AND(S30&lt;=T30,S31&gt;T30),"CROSS","")</x:f>
      </x:c>
    </x:row>
    <x:row r="31">
      <x:c r="A31" s="83"/>
      <x:c r="B31" s="83"/>
      <x:c r="C31" s="83"/>
      <x:c r="D31" s="83"/>
      <x:c r="E31" s="83"/>
      <x:c r="F31" s="83"/>
      <x:c r="G31" s="83"/>
      <x:c r="H31" s="83"/>
      <x:c r="I31" s="83"/>
      <x:c r="J31" s="83"/>
      <x:c r="K31" s="83"/>
      <x:c r="L31" s="83"/>
      <x:c r="M31" s="83"/>
      <x:c r="N31" s="83"/>
      <x:c r="O31" s="87" t="n">
        <x:v>25</x:v>
      </x:c>
      <x:c r="P31" s="110" t="n">
        <x:f>O31*MESCLUN_HOURS*WEEKS*(1+MESCLUN_DIM)^O31</x:f>
        <x:v>1534.7170558625955</x:v>
      </x:c>
      <x:c r="Q31" s="117" t="n">
        <x:f>MIN(P31,FARMER_HOURS)*FARMER_RATE+MAX(P31-FARMER_HOURS,0)*TEMP_RATE</x:f>
        <x:v>39141.88808977466</x:v>
      </x:c>
      <x:c r="R31" s="117" t="n">
        <x:f>Q31+O31*MESCLUN_FERTILIZER</x:f>
        <x:v>61141.88808977466</x:v>
      </x:c>
      <x:c r="S31" s="117" t="n">
        <x:f>R31-R30</x:f>
        <x:v>2261.4727157660964</x:v>
      </x:c>
      <x:c r="T31" s="117" t="n">
        <x:f>MESCLUN_PRICE</x:f>
        <x:v>2700</x:v>
      </x:c>
      <x:c r="U31" s="87" t="str">
        <x:f>IF(AND(S31&lt;=T31,S32&gt;T31),"CROSS","")</x:f>
      </x:c>
    </x:row>
    <x:row r="32">
      <x:c r="A32" s="83"/>
      <x:c r="B32" s="83"/>
      <x:c r="C32" s="83"/>
      <x:c r="D32" s="83"/>
      <x:c r="E32" s="83"/>
      <x:c r="F32" s="83"/>
      <x:c r="G32" s="83"/>
      <x:c r="H32" s="83"/>
      <x:c r="I32" s="83"/>
      <x:c r="J32" s="83"/>
      <x:c r="K32" s="83"/>
      <x:c r="L32" s="83"/>
      <x:c r="M32" s="83"/>
      <x:c r="N32" s="83"/>
      <x:c r="O32" s="87" t="n">
        <x:v>26</x:v>
      </x:c>
      <x:c r="P32" s="110" t="n">
        <x:f>O32*MESCLUN_HOURS*WEEKS*(1+MESCLUN_DIM)^O32</x:f>
        <x:v>1616.0570598233128</x:v>
      </x:c>
      <x:c r="Q32" s="117" t="n">
        <x:f>MIN(P32,FARMER_HOURS)*FARMER_RATE+MAX(P32-FARMER_HOURS,0)*TEMP_RATE</x:f>
        <x:v>40553.950558532706</x:v>
      </x:c>
      <x:c r="R32" s="117" t="n">
        <x:f>Q32+O32*MESCLUN_FERTILIZER</x:f>
        <x:v>63433.950558532706</x:v>
      </x:c>
      <x:c r="S32" s="117" t="n">
        <x:f>R32-R31</x:f>
        <x:v>2292.0624687580494</x:v>
      </x:c>
      <x:c r="T32" s="117" t="n">
        <x:f>MESCLUN_PRICE</x:f>
        <x:v>2700</x:v>
      </x:c>
      <x:c r="U32" s="87" t="str">
        <x:f>IF(AND(S32&lt;=T32,S33&gt;T32),"CROSS","")</x:f>
      </x:c>
    </x:row>
    <x:row r="33">
      <x:c r="A33" s="83"/>
      <x:c r="B33" s="83"/>
      <x:c r="C33" s="83"/>
      <x:c r="D33" s="83"/>
      <x:c r="E33" s="83"/>
      <x:c r="F33" s="83"/>
      <x:c r="G33" s="83"/>
      <x:c r="H33" s="83"/>
      <x:c r="I33" s="83"/>
      <x:c r="J33" s="83"/>
      <x:c r="K33" s="83"/>
      <x:c r="L33" s="83"/>
      <x:c r="M33" s="83"/>
      <x:c r="N33" s="83"/>
      <x:c r="O33" s="87" t="n">
        <x:v>27</x:v>
      </x:c>
      <x:c r="P33" s="110" t="n">
        <x:f>O33*MESCLUN_HOURS*WEEKS*(1+MESCLUN_DIM)^O33</x:f>
        <x:v>1699.19076434307</x:v>
      </x:c>
      <x:c r="Q33" s="117" t="n">
        <x:f>MIN(P33,FARMER_HOURS)*FARMER_RATE+MAX(P33-FARMER_HOURS,0)*TEMP_RATE</x:f>
        <x:v>41997.15166899569</x:v>
      </x:c>
      <x:c r="R33" s="117" t="n">
        <x:f>Q33+O33*MESCLUN_FERTILIZER</x:f>
        <x:v>65757.15166899569</x:v>
      </x:c>
      <x:c r="S33" s="117" t="n">
        <x:f>R33-R32</x:f>
        <x:v>2323.2011104629855</x:v>
      </x:c>
      <x:c r="T33" s="117" t="n">
        <x:f>MESCLUN_PRICE</x:f>
        <x:v>2700</x:v>
      </x:c>
      <x:c r="U33" s="87" t="str">
        <x:f>IF(AND(S33&lt;=T33,S34&gt;T33),"CROSS","")</x:f>
      </x:c>
    </x:row>
    <x:row r="34">
      <x:c r="A34" s="83"/>
      <x:c r="B34" s="83"/>
      <x:c r="C34" s="83"/>
      <x:c r="D34" s="83"/>
      <x:c r="E34" s="83"/>
      <x:c r="F34" s="83"/>
      <x:c r="G34" s="83"/>
      <x:c r="H34" s="83"/>
      <x:c r="I34" s="83"/>
      <x:c r="J34" s="83"/>
      <x:c r="K34" s="83"/>
      <x:c r="L34" s="83"/>
      <x:c r="M34" s="83"/>
      <x:c r="N34" s="83"/>
      <x:c r="O34" s="87" t="n">
        <x:v>28</x:v>
      </x:c>
      <x:c r="P34" s="110" t="n">
        <x:f>O34*MESCLUN_HOURS*WEEKS*(1+MESCLUN_DIM)^O34</x:f>
        <x:v>1784.1503025602233</x:v>
      </x:c>
      <x:c r="Q34" s="117" t="n">
        <x:f>MIN(P34,FARMER_HOURS)*FARMER_RATE+MAX(P34-FARMER_HOURS,0)*TEMP_RATE</x:f>
        <x:v>43472.049252445475</x:v>
      </x:c>
      <x:c r="R34" s="117" t="n">
        <x:f>Q34+O34*MESCLUN_FERTILIZER</x:f>
        <x:v>68112.04925244547</x:v>
      </x:c>
      <x:c r="S34" s="117" t="n">
        <x:f>R34-R33</x:f>
        <x:v>2354.8975834497833</x:v>
      </x:c>
      <x:c r="T34" s="117" t="n">
        <x:f>MESCLUN_PRICE</x:f>
        <x:v>2700</x:v>
      </x:c>
      <x:c r="U34" s="87" t="str">
        <x:f>IF(AND(S34&lt;=T34,S35&gt;T34),"CROSS","")</x:f>
      </x:c>
    </x:row>
    <x:row r="35">
      <x:c r="A35" s="83"/>
      <x:c r="B35" s="83"/>
      <x:c r="C35" s="83"/>
      <x:c r="D35" s="83"/>
      <x:c r="E35" s="83"/>
      <x:c r="F35" s="83"/>
      <x:c r="G35" s="83"/>
      <x:c r="H35" s="83"/>
      <x:c r="I35" s="83"/>
      <x:c r="J35" s="83"/>
      <x:c r="K35" s="83"/>
      <x:c r="L35" s="83"/>
      <x:c r="M35" s="83"/>
      <x:c r="N35" s="83"/>
      <x:c r="O35" s="87" t="n">
        <x:v>29</x:v>
      </x:c>
      <x:c r="P35" s="110" t="n">
        <x:f>O35*MESCLUN_HOURS*WEEKS*(1+MESCLUN_DIM)^O35</x:f>
        <x:v>1870.9683306758766</x:v>
      </x:c>
      <x:c r="Q35" s="117" t="n">
        <x:f>MIN(P35,FARMER_HOURS)*FARMER_RATE+MAX(P35-FARMER_HOURS,0)*TEMP_RATE</x:f>
        <x:v>44979.21022053322</x:v>
      </x:c>
      <x:c r="R35" s="117" t="n">
        <x:f>Q35+O35*MESCLUN_FERTILIZER</x:f>
        <x:v>70499.21022053322</x:v>
      </x:c>
      <x:c r="S35" s="117" t="n">
        <x:f>R35-R34</x:f>
        <x:v>2387.1609680877445</x:v>
      </x:c>
      <x:c r="T35" s="117" t="n">
        <x:f>MESCLUN_PRICE</x:f>
        <x:v>2700</x:v>
      </x:c>
      <x:c r="U35" s="87" t="str">
        <x:f>IF(AND(S35&lt;=T35,S36&gt;T35),"CROSS","")</x:f>
      </x:c>
    </x:row>
    <x:row r="36">
      <x:c r="A36" s="83"/>
      <x:c r="B36" s="83"/>
      <x:c r="C36" s="83"/>
      <x:c r="D36" s="83"/>
      <x:c r="E36" s="83"/>
      <x:c r="F36" s="83"/>
      <x:c r="G36" s="83"/>
      <x:c r="H36" s="83"/>
      <x:c r="I36" s="83"/>
      <x:c r="J36" s="83"/>
      <x:c r="K36" s="83"/>
      <x:c r="L36" s="83"/>
      <x:c r="M36" s="83"/>
      <x:c r="N36" s="83"/>
      <x:c r="O36" s="91" t="n">
        <x:v>30</x:v>
      </x:c>
      <x:c r="P36" s="112" t="n">
        <x:f>O36*MESCLUN_HOURS*WEEKS*(1+MESCLUN_DIM)^O36</x:f>
        <x:v>1959.6780360096466</x:v>
      </x:c>
      <x:c r="Q36" s="124" t="n">
        <x:f>MIN(P36,FARMER_HOURS)*FARMER_RATE+MAX(P36-FARMER_HOURS,0)*TEMP_RATE</x:f>
        <x:v>46519.210705127465</x:v>
      </x:c>
      <x:c r="R36" s="124" t="n">
        <x:f>Q36+O36*MESCLUN_FERTILIZER</x:f>
        <x:v>72919.21070512747</x:v>
      </x:c>
      <x:c r="S36" s="124" t="n">
        <x:f>R36-R35</x:f>
        <x:v>2420.000484594246</x:v>
      </x:c>
      <x:c r="T36" s="124" t="n">
        <x:f>MESCLUN_PRICE</x:f>
        <x:v>2700</x:v>
      </x:c>
      <x:c r="U36" s="91" t="str">
        <x:f>""</x:f>
      </x:c>
    </x:row>
    <x:row r="37">
      <x:c r="A37" s="83"/>
      <x:c r="B37" s="83"/>
      <x:c r="C37" s="83"/>
      <x:c r="D37" s="83"/>
      <x:c r="E37" s="83"/>
      <x:c r="F37" s="83"/>
      <x:c r="G37" s="83"/>
      <x:c r="H37" s="83"/>
      <x:c r="I37" s="83"/>
      <x:c r="J37" s="83"/>
      <x:c r="K37" s="83"/>
      <x:c r="L37" s="83"/>
      <x:c r="M37" s="83"/>
      <x:c r="N37" s="83"/>
      <x:c r="O37" s="83"/>
      <x:c r="P37" s="83"/>
      <x:c r="Q37" s="83"/>
      <x:c r="R37" s="83"/>
      <x:c r="S37" s="83"/>
      <x:c r="T37" s="83"/>
      <x:c r="U37" s="83"/>
    </x:row>
    <x:row r="38">
      <x:c r="A38" s="83"/>
      <x:c r="B38" s="83"/>
      <x:c r="C38" s="83"/>
      <x:c r="D38" s="83"/>
      <x:c r="E38" s="83"/>
      <x:c r="F38" s="83"/>
      <x:c r="G38" s="83"/>
      <x:c r="H38" s="83"/>
      <x:c r="I38" s="83"/>
      <x:c r="J38" s="83"/>
      <x:c r="K38" s="83"/>
      <x:c r="L38" s="83"/>
      <x:c r="M38" s="83"/>
      <x:c r="N38" s="83"/>
      <x:c r="O38" s="83"/>
      <x:c r="P38" s="83"/>
      <x:c r="Q38" s="83"/>
      <x:c r="R38" s="83"/>
      <x:c r="S38" s="83"/>
      <x:c r="T38" s="83"/>
      <x:c r="U38" s="83"/>
    </x:row>
    <x:row r="39">
      <x:c r="A39" s="84" t="str">
        <x:v>Crop</x:v>
      </x:c>
      <x:c r="B39" s="84" t="str">
        <x:v>Computed crossing</x:v>
      </x:c>
      <x:c r="C39" s="84" t="str">
        <x:v>Expected</x:v>
      </x:c>
      <x:c r="D39" s="84" t="str">
        <x:v>Status</x:v>
      </x:c>
      <x:c r="E39" s="84" t="str">
        <x:v>MC check</x:v>
      </x:c>
      <x:c r="F39" s="84" t="str">
        <x:v>Expected</x:v>
      </x:c>
      <x:c r="G39" s="84" t="str">
        <x:v>Status</x:v>
      </x:c>
      <x:c r="H39" s="83"/>
      <x:c r="I39" s="83"/>
      <x:c r="J39" s="83"/>
      <x:c r="K39" s="83"/>
      <x:c r="L39" s="83"/>
      <x:c r="M39" s="83"/>
      <x:c r="N39" s="83"/>
      <x:c r="O39" s="83"/>
      <x:c r="P39" s="83"/>
      <x:c r="Q39" s="83"/>
      <x:c r="R39" s="83"/>
      <x:c r="S39" s="83"/>
      <x:c r="T39" s="83"/>
      <x:c r="U39" s="83"/>
    </x:row>
    <x:row r="40">
      <x:c r="A40" s="83" t="str">
        <x:v>Tomato</x:v>
      </x:c>
      <x:c r="B40" s="83" t="n">
        <x:f>SUMIF(G6:G25,"CROSS",A6:A25)</x:f>
        <x:v>10</x:v>
      </x:c>
      <x:c r="C40" s="83" t="n">
        <x:v>10</x:v>
      </x:c>
      <x:c r="D40" s="83" t="str">
        <x:f>IF(B40=C40,"PASS","FAIL")</x:f>
        <x:v>PASS</x:v>
      </x:c>
      <x:c r="E40" s="83" t="n">
        <x:f>E16</x:f>
        <x:v>8248.114944836801</x:v>
      </x:c>
      <x:c r="F40" s="83" t="n">
        <x:v>8249</x:v>
      </x:c>
      <x:c r="G40" s="83" t="str">
        <x:f>IF(ABS(E40-F40)&lt;=1,"PASS","FAIL")</x:f>
        <x:v>PASS</x:v>
      </x:c>
      <x:c r="H40" s="83"/>
      <x:c r="I40" s="83"/>
      <x:c r="J40" s="83"/>
      <x:c r="K40" s="83"/>
      <x:c r="L40" s="83"/>
      <x:c r="M40" s="83"/>
      <x:c r="N40" s="83"/>
      <x:c r="O40" s="83"/>
      <x:c r="P40" s="83"/>
      <x:c r="Q40" s="83"/>
      <x:c r="R40" s="83"/>
      <x:c r="S40" s="83"/>
      <x:c r="T40" s="83"/>
      <x:c r="U40" s="83"/>
    </x:row>
    <x:row r="41">
      <x:c r="A41" s="83" t="str">
        <x:v>Carrot</x:v>
      </x:c>
      <x:c r="B41" s="83" t="n">
        <x:f>SUMIF(N6:N25,"CROSS",H6:H25)</x:f>
        <x:v>10</x:v>
      </x:c>
      <x:c r="C41" s="83" t="n">
        <x:v>10</x:v>
      </x:c>
      <x:c r="D41" s="83" t="str">
        <x:f>IF(B41=C41,"PASS","FAIL")</x:f>
        <x:v>PASS</x:v>
      </x:c>
      <x:c r="E41" s="83" t="n">
        <x:f>E17</x:f>
        <x:v>9390.172761286514</x:v>
      </x:c>
      <x:c r="F41" s="83" t="n">
        <x:v>9391</x:v>
      </x:c>
      <x:c r="G41" s="83" t="str">
        <x:f>IF(ABS(E41-F41)&lt;=1,"PASS","FAIL")</x:f>
        <x:v>PASS</x:v>
      </x:c>
      <x:c r="H41" s="83"/>
      <x:c r="I41" s="83"/>
      <x:c r="J41" s="83"/>
      <x:c r="K41" s="83"/>
      <x:c r="L41" s="83"/>
      <x:c r="M41" s="83"/>
      <x:c r="N41" s="83"/>
      <x:c r="O41" s="83"/>
      <x:c r="P41" s="83"/>
      <x:c r="Q41" s="83"/>
      <x:c r="R41" s="83"/>
      <x:c r="S41" s="83"/>
      <x:c r="T41" s="83"/>
      <x:c r="U41" s="83"/>
    </x:row>
    <x:row r="42">
      <x:c r="A42" s="83" t="str">
        <x:v>Mesclun</x:v>
      </x:c>
      <x:c r="B42" s="83" t="n">
        <x:f>SUMIF(U6:U35,"CROSS",O6:O35)</x:f>
        <x:v>6</x:v>
      </x:c>
      <x:c r="C42" s="83" t="n">
        <x:v>6</x:v>
      </x:c>
      <x:c r="D42" s="83" t="str">
        <x:f>IF(B42=C42,"PASS","FAIL")</x:f>
        <x:v>PASS</x:v>
      </x:c>
      <x:c r="E42" s="83" t="str">
        <x:f>""</x:f>
      </x:c>
      <x:c r="F42" s="83" t="str"/>
      <x:c r="G42" s="83" t="str">
        <x:f>""</x:f>
      </x:c>
      <x:c r="H42" s="83"/>
      <x:c r="I42" s="83"/>
      <x:c r="J42" s="83"/>
      <x:c r="K42" s="83"/>
      <x:c r="L42" s="83"/>
      <x:c r="M42" s="83"/>
      <x:c r="N42" s="83"/>
      <x:c r="O42" s="83"/>
      <x:c r="P42" s="83"/>
      <x:c r="Q42" s="83"/>
      <x:c r="R42" s="83"/>
      <x:c r="S42" s="83"/>
      <x:c r="T42" s="83"/>
      <x:c r="U42" s="83"/>
    </x:row>
  </x:sheetData>
  <x:mergeCells>
    <x:mergeCell ref="A1:U1"/>
    <x:mergeCell ref="A3:G3"/>
    <x:mergeCell ref="H3:N3"/>
    <x:mergeCell ref="O3:U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33" hidden="0" customWidth="1"/>
    <x:col min="4" max="4" width="14" hidden="0" customWidth="1"/>
    <x:col min="5" max="5" width="14" hidden="0" customWidth="1"/>
    <x:col min="6" max="6" width="34" hidden="0" customWidth="1"/>
  </x:cols>
  <x:sheetData>
    <x:row r="1" ht="28" customHeight="1">
      <x:c r="A1" s="81" t="str">
        <x:v>Optimization — Solver Decision Model</x:v>
      </x:c>
      <x:c r="B1" s="82"/>
      <x:c r="C1" s="82"/>
      <x:c r="D1" s="82"/>
      <x:c r="E1" s="82"/>
      <x:c r="F1" s="82"/>
    </x:row>
    <x:row r="2">
      <x:c r="A2" s="83"/>
      <x:c r="B2" s="83"/>
      <x:c r="C2" s="83"/>
      <x:c r="D2" s="83"/>
      <x:c r="E2" s="83"/>
      <x:c r="F2" s="83"/>
    </x:row>
    <x:row r="3">
      <x:c r="A3" s="132" t="str">
        <x:v>Objective: maximize PROFIT. Solver method: GRG Nonlinear. Only the three yellow bed cells change.</x:v>
      </x:c>
      <x:c r="B3" s="132"/>
      <x:c r="C3" s="132"/>
      <x:c r="D3" s="132"/>
      <x:c r="E3" s="132"/>
      <x:c r="F3" s="132"/>
    </x:row>
    <x:row r="4">
      <x:c r="A4" s="83"/>
      <x:c r="B4" s="83"/>
      <x:c r="C4" s="83"/>
      <x:c r="D4" s="83"/>
      <x:c r="E4" s="83"/>
      <x:c r="F4" s="83"/>
    </x:row>
    <x:row r="5">
      <x:c r="A5" s="84" t="str">
        <x:v>Decision cell</x:v>
      </x:c>
      <x:c r="B5" s="84" t="str">
        <x:v>Beds</x:v>
      </x:c>
      <x:c r="C5" s="84" t="str">
        <x:v>Restriction</x:v>
      </x:c>
      <x:c r="D5" s="83"/>
      <x:c r="E5" s="84" t="str">
        <x:v>Major output</x:v>
      </x:c>
      <x:c r="F5" s="84" t="str">
        <x:v>Formula result</x:v>
      </x:c>
    </x:row>
    <x:row r="6">
      <x:c r="A6" s="83" t="str">
        <x:v>TOMATO_BEDS</x:v>
      </x:c>
      <x:c r="B6" s="133" t="n">
        <x:v>10</x:v>
      </x:c>
      <x:c r="C6" s="83" t="str">
        <x:v>Nonnegative integer; ≤ TOMATO_CAP</x:v>
      </x:c>
      <x:c r="D6" s="83"/>
      <x:c r="E6" s="83" t="str">
        <x:v>TOTAL_BEDS</x:v>
      </x:c>
      <x:c r="F6" s="134" t="n">
        <x:f>TOTAL_BEDS</x:f>
        <x:v>60</x:v>
      </x:c>
    </x:row>
    <x:row r="7">
      <x:c r="A7" s="83" t="str">
        <x:v>CARROT_BEDS</x:v>
      </x:c>
      <x:c r="B7" s="133" t="n">
        <x:v>20</x:v>
      </x:c>
      <x:c r="C7" s="83" t="str">
        <x:v>Nonnegative integer; ≤ CARROT_CAP</x:v>
      </x:c>
      <x:c r="D7" s="83"/>
      <x:c r="E7" s="83" t="str">
        <x:v>UNUSED_BEDS</x:v>
      </x:c>
      <x:c r="F7" s="134" t="n">
        <x:f>UNUSED_BEDS</x:f>
        <x:v>4</x:v>
      </x:c>
    </x:row>
    <x:row r="8">
      <x:c r="A8" s="83" t="str">
        <x:v>MESCLUN_BEDS</x:v>
      </x:c>
      <x:c r="B8" s="133" t="n">
        <x:v>30</x:v>
      </x:c>
      <x:c r="C8" s="83" t="str">
        <x:v>Nonnegative integer; ≤ MESCLUN_CAP</x:v>
      </x:c>
      <x:c r="D8" s="83"/>
      <x:c r="E8" s="83" t="str">
        <x:v>TOTAL_LABOR</x:v>
      </x:c>
      <x:c r="F8" s="135" t="n">
        <x:f>TOTAL_LABOR</x:f>
        <x:v>5276.822846328215</x:v>
      </x:c>
    </x:row>
    <x:row r="9">
      <x:c r="A9" s="83"/>
      <x:c r="B9" s="83"/>
      <x:c r="C9" s="83"/>
      <x:c r="D9" s="83"/>
      <x:c r="E9" s="83" t="str">
        <x:v>TEMP_WORKERS</x:v>
      </x:c>
      <x:c r="F9" s="136" t="n">
        <x:f>TEMP_WORKERS</x:f>
        <x:v>3.164460309950149</x:v>
      </x:c>
    </x:row>
    <x:row r="10">
      <x:c r="A10" s="83"/>
      <x:c r="B10" s="83"/>
      <x:c r="C10" s="83"/>
      <x:c r="D10" s="83"/>
      <x:c r="E10" s="83" t="str">
        <x:v>TOTAL_REVENUE</x:v>
      </x:c>
      <x:c r="F10" s="137" t="n">
        <x:f>TOTAL_REVENUE</x:f>
        <x:v>210880</x:v>
      </x:c>
    </x:row>
    <x:row r="11">
      <x:c r="A11" s="113" t="str">
        <x:v>Solver constraints</x:v>
      </x:c>
      <x:c r="B11" s="114"/>
      <x:c r="C11" s="115"/>
      <x:c r="D11" s="83"/>
      <x:c r="E11" s="83" t="str">
        <x:v>TOTAL_COST</x:v>
      </x:c>
      <x:c r="F11" s="137" t="n">
        <x:f>TOTAL_COST</x:f>
        <x:v>168104.8446122578</x:v>
      </x:c>
    </x:row>
    <x:row r="12">
      <x:c r="A12" s="83"/>
      <x:c r="B12" s="83"/>
      <x:c r="C12" s="83"/>
      <x:c r="D12" s="83"/>
      <x:c r="E12" s="83" t="str">
        <x:v>PROFIT</x:v>
      </x:c>
      <x:c r="F12" s="137" t="n">
        <x:f>PROFIT</x:f>
        <x:v>42775.15538774221</x:v>
      </x:c>
    </x:row>
    <x:row r="13">
      <x:c r="A13" s="84" t="str">
        <x:v>Constraint</x:v>
      </x:c>
      <x:c r="B13" s="84" t="str">
        <x:v>Actual</x:v>
      </x:c>
      <x:c r="C13" s="84" t="str">
        <x:v>Limit</x:v>
      </x:c>
      <x:c r="D13" s="84" t="str">
        <x:v>Slack</x:v>
      </x:c>
      <x:c r="E13" s="84" t="str">
        <x:v>Status</x:v>
      </x:c>
      <x:c r="F13" s="84" t="str">
        <x:v>Solver entry</x:v>
      </x:c>
    </x:row>
    <x:row r="14">
      <x:c r="A14" s="85" t="str">
        <x:v>Total beds</x:v>
      </x:c>
      <x:c r="B14" s="138" t="n">
        <x:f>TOTAL_BEDS</x:f>
        <x:v>60</x:v>
      </x:c>
      <x:c r="C14" s="138" t="n">
        <x:f>TOTAL_BED_CAP</x:f>
        <x:v>64</x:v>
      </x:c>
      <x:c r="D14" s="138" t="n">
        <x:f>C14-B14</x:f>
        <x:v>4</x:v>
      </x:c>
      <x:c r="E14" s="85" t="str">
        <x:f>IF(D14&gt;=0,"PASS","FAIL")</x:f>
        <x:v>PASS</x:v>
      </x:c>
      <x:c r="F14" s="85" t="str">
        <x:v>TOTAL_BEDS ≤ TOTAL_BED_CAP</x:v>
      </x:c>
    </x:row>
    <x:row r="15">
      <x:c r="A15" s="87" t="str">
        <x:v>Tomato beds</x:v>
      </x:c>
      <x:c r="B15" s="116" t="n">
        <x:f>TOMATO_BEDS</x:f>
        <x:v>10</x:v>
      </x:c>
      <x:c r="C15" s="116" t="n">
        <x:f>TOMATO_CAP</x:f>
        <x:v>20</x:v>
      </x:c>
      <x:c r="D15" s="116" t="n">
        <x:f>C15-B15</x:f>
        <x:v>10</x:v>
      </x:c>
      <x:c r="E15" s="87" t="str">
        <x:f>IF(D15&gt;=0,"PASS","FAIL")</x:f>
        <x:v>PASS</x:v>
      </x:c>
      <x:c r="F15" s="87" t="str">
        <x:v>TOMATO_BEDS ≤ TOMATO_CAP</x:v>
      </x:c>
    </x:row>
    <x:row r="16">
      <x:c r="A16" s="87" t="str">
        <x:v>Carrot beds</x:v>
      </x:c>
      <x:c r="B16" s="116" t="n">
        <x:f>CARROT_BEDS</x:f>
        <x:v>20</x:v>
      </x:c>
      <x:c r="C16" s="116" t="n">
        <x:f>CARROT_CAP</x:f>
        <x:v>20</x:v>
      </x:c>
      <x:c r="D16" s="116" t="n">
        <x:f>C16-B16</x:f>
        <x:v>0</x:v>
      </x:c>
      <x:c r="E16" s="87" t="str">
        <x:f>IF(D16&gt;=0,"PASS","FAIL")</x:f>
        <x:v>PASS</x:v>
      </x:c>
      <x:c r="F16" s="87" t="str">
        <x:v>CARROT_BEDS ≤ CARROT_CAP</x:v>
      </x:c>
    </x:row>
    <x:row r="17">
      <x:c r="A17" s="87" t="str">
        <x:v>Mesclun beds</x:v>
      </x:c>
      <x:c r="B17" s="116" t="n">
        <x:f>MESCLUN_BEDS</x:f>
        <x:v>30</x:v>
      </x:c>
      <x:c r="C17" s="116" t="n">
        <x:f>MESCLUN_CAP</x:f>
        <x:v>30</x:v>
      </x:c>
      <x:c r="D17" s="116" t="n">
        <x:f>C17-B17</x:f>
        <x:v>0</x:v>
      </x:c>
      <x:c r="E17" s="87" t="str">
        <x:f>IF(D17&gt;=0,"PASS","FAIL")</x:f>
        <x:v>PASS</x:v>
      </x:c>
      <x:c r="F17" s="87" t="str">
        <x:v>MESCLUN_BEDS ≤ MESCLUN_CAP</x:v>
      </x:c>
    </x:row>
    <x:row r="18">
      <x:c r="A18" s="91" t="str">
        <x:v>Temporary workers</x:v>
      </x:c>
      <x:c r="B18" s="120" t="n">
        <x:f>TEMP_WORKERS</x:f>
        <x:v>3.164460309950149</x:v>
      </x:c>
      <x:c r="C18" s="120" t="n">
        <x:f>TEMP_WORKER_CAP</x:f>
        <x:v>4</x:v>
      </x:c>
      <x:c r="D18" s="120" t="n">
        <x:f>C18-B18</x:f>
        <x:v>0.8355396900498508</x:v>
      </x:c>
      <x:c r="E18" s="91" t="str">
        <x:f>IF(D18&gt;=0,"PASS","FAIL")</x:f>
        <x:v>PASS</x:v>
      </x:c>
      <x:c r="F18" s="91" t="str">
        <x:v>TEMP_WORKERS ≤ TEMP_WORKER_CAP</x:v>
      </x:c>
    </x:row>
    <x:row r="19">
      <x:c r="A19" s="83"/>
      <x:c r="B19" s="83"/>
      <x:c r="C19" s="83"/>
      <x:c r="D19" s="83"/>
      <x:c r="E19" s="83"/>
      <x:c r="F19" s="83"/>
    </x:row>
    <x:row r="20">
      <x:c r="A20" s="83"/>
      <x:c r="B20" s="83"/>
      <x:c r="C20" s="83"/>
      <x:c r="D20" s="83"/>
      <x:c r="E20" s="83"/>
      <x:c r="F20" s="83"/>
    </x:row>
    <x:row r="21">
      <x:c r="A21" s="132" t="str">
        <x:v>Run from 0/0/0 and 20/0/0; if results differ, retain both and select the feasible result with higher profit.</x:v>
      </x:c>
      <x:c r="B21" s="132"/>
      <x:c r="C21" s="132"/>
      <x:c r="D21" s="132"/>
      <x:c r="E21" s="132"/>
      <x:c r="F21" s="132"/>
    </x:row>
  </x:sheetData>
  <x:mergeCells>
    <x:mergeCell ref="A1:F1"/>
    <x:mergeCell ref="A3:F3"/>
    <x:mergeCell ref="A11:C11"/>
    <x:mergeCell ref="A21:F2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2" hidden="0" customWidth="1"/>
    <x:col min="5" max="5" width="14" hidden="0" customWidth="1"/>
    <x:col min="6" max="6" width="13" hidden="0" customWidth="1"/>
    <x:col min="7" max="7" width="34" hidden="0" customWidth="1"/>
  </x:cols>
  <x:sheetData>
    <x:row r="1" ht="28" customHeight="1">
      <x:c r="A1" s="81" t="str">
        <x:v>Checks — Acceptance Criteria and Solver Runs</x:v>
      </x:c>
      <x:c r="B1" s="82"/>
      <x:c r="C1" s="82"/>
      <x:c r="D1" s="82"/>
      <x:c r="E1" s="82"/>
      <x:c r="F1" s="82"/>
      <x:c r="G1" s="82"/>
    </x:row>
    <x:row r="2">
      <x:c r="A2" s="83"/>
      <x:c r="B2" s="83"/>
      <x:c r="C2" s="83"/>
      <x:c r="D2" s="83"/>
      <x:c r="E2" s="83"/>
      <x:c r="F2" s="83"/>
      <x:c r="G2" s="83"/>
    </x:row>
    <x:row r="3">
      <x:c r="A3" s="84" t="str">
        <x:v>Acceptance criterion</x:v>
      </x:c>
      <x:c r="B3" s="84" t="str">
        <x:v>Actual</x:v>
      </x:c>
      <x:c r="C3" s="84" t="str">
        <x:v>Expected</x:v>
      </x:c>
      <x:c r="D3" s="84" t="str">
        <x:v>Tolerance</x:v>
      </x:c>
      <x:c r="E3" s="84" t="str">
        <x:v>Variance</x:v>
      </x:c>
      <x:c r="F3" s="84" t="str">
        <x:v>Status</x:v>
      </x:c>
      <x:c r="G3" s="84" t="str">
        <x:v>What it catches</x:v>
      </x:c>
    </x:row>
    <x:row r="4">
      <x:c r="A4" s="85" t="str">
        <x:v>Tomato labor at q=1</x:v>
      </x:c>
      <x:c r="B4" s="108" t="n">
        <x:f>'Marginal Cost'!B7</x:f>
        <x:v>99.00000000000001</x:v>
      </x:c>
      <x:c r="C4" s="108" t="n">
        <x:v>99</x:v>
      </x:c>
      <x:c r="D4" s="108" t="n">
        <x:v>0.01</x:v>
      </x:c>
      <x:c r="E4" s="108" t="n">
        <x:f>ABS(B4-C4)</x:f>
        <x:v>1.4210854715202004e-14</x:v>
      </x:c>
      <x:c r="F4" s="85" t="str">
        <x:f>IF(E4&lt;=D4,"PASS","FAIL")</x:f>
        <x:v>PASS</x:v>
      </x:c>
      <x:c r="G4" s="85" t="str">
        <x:v>Labor exponent or hours error</x:v>
      </x:c>
    </x:row>
    <x:row r="5">
      <x:c r="A5" s="87" t="str">
        <x:v>Carrot labor at q=1</x:v>
      </x:c>
      <x:c r="B5" s="110" t="n">
        <x:f>'Marginal Cost'!I7</x:f>
        <x:v>30.737699999999997</x:v>
      </x:c>
      <x:c r="C5" s="110" t="n">
        <x:v>30.74</x:v>
      </x:c>
      <x:c r="D5" s="110" t="n">
        <x:v>0.01</x:v>
      </x:c>
      <x:c r="E5" s="110" t="n">
        <x:f>ABS(B5-C5)</x:f>
        <x:v>0.002300000000001745</x:v>
      </x:c>
      <x:c r="F5" s="87" t="str">
        <x:f>IF(E5&lt;=D5,"PASS","FAIL")</x:f>
        <x:v>PASS</x:v>
      </x:c>
      <x:c r="G5" s="87" t="str">
        <x:v>Published 0.833 precision error</x:v>
      </x:c>
    </x:row>
    <x:row r="6">
      <x:c r="A6" s="87" t="str">
        <x:v>Mesclun labor at q=1</x:v>
      </x:c>
      <x:c r="B6" s="110" t="n">
        <x:f>'Marginal Cost'!P7</x:f>
        <x:v>45.5625</x:v>
      </x:c>
      <x:c r="C6" s="110" t="n">
        <x:v>45.56</x:v>
      </x:c>
      <x:c r="D6" s="110" t="n">
        <x:v>0.01</x:v>
      </x:c>
      <x:c r="E6" s="110" t="n">
        <x:f>ABS(B6-C6)</x:f>
        <x:v>0.0024999999999977263</x:v>
      </x:c>
      <x:c r="F6" s="87" t="str">
        <x:f>IF(E6&lt;=D6,"PASS","FAIL")</x:f>
        <x:v>PASS</x:v>
      </x:c>
      <x:c r="G6" s="87" t="str">
        <x:v>Labor exponent or hours error</x:v>
      </x:c>
    </x:row>
    <x:row r="7">
      <x:c r="A7" s="87" t="str">
        <x:v>Optimized tomato beds</x:v>
      </x:c>
      <x:c r="B7" s="110" t="n">
        <x:f>TOMATO_BEDS</x:f>
        <x:v>10</x:v>
      </x:c>
      <x:c r="C7" s="110" t="n">
        <x:v>10</x:v>
      </x:c>
      <x:c r="D7" s="110" t="n">
        <x:v>0</x:v>
      </x:c>
      <x:c r="E7" s="110" t="n">
        <x:f>ABS(B7-C7)</x:f>
        <x:v>0</x:v>
      </x:c>
      <x:c r="F7" s="87" t="str">
        <x:f>IF(E7&lt;=D7,"PASS","FAIL")</x:f>
        <x:v>PASS</x:v>
      </x:c>
      <x:c r="G7" s="87" t="str">
        <x:v>Incorrect optimum</x:v>
      </x:c>
    </x:row>
    <x:row r="8">
      <x:c r="A8" s="87" t="str">
        <x:v>Optimized carrot beds</x:v>
      </x:c>
      <x:c r="B8" s="110" t="n">
        <x:f>CARROT_BEDS</x:f>
        <x:v>20</x:v>
      </x:c>
      <x:c r="C8" s="110" t="n">
        <x:v>20</x:v>
      </x:c>
      <x:c r="D8" s="110" t="n">
        <x:v>0</x:v>
      </x:c>
      <x:c r="E8" s="110" t="n">
        <x:f>ABS(B8-C8)</x:f>
        <x:v>0</x:v>
      </x:c>
      <x:c r="F8" s="87" t="str">
        <x:f>IF(E8&lt;=D8,"PASS","FAIL")</x:f>
        <x:v>PASS</x:v>
      </x:c>
      <x:c r="G8" s="87" t="str">
        <x:v>Incorrect optimum</x:v>
      </x:c>
    </x:row>
    <x:row r="9">
      <x:c r="A9" s="87" t="str">
        <x:v>Optimized mesclun beds</x:v>
      </x:c>
      <x:c r="B9" s="110" t="n">
        <x:f>MESCLUN_BEDS</x:f>
        <x:v>30</x:v>
      </x:c>
      <x:c r="C9" s="110" t="n">
        <x:v>30</x:v>
      </x:c>
      <x:c r="D9" s="110" t="n">
        <x:v>0</x:v>
      </x:c>
      <x:c r="E9" s="110" t="n">
        <x:f>ABS(B9-C9)</x:f>
        <x:v>0</x:v>
      </x:c>
      <x:c r="F9" s="87" t="str">
        <x:f>IF(E9&lt;=D9,"PASS","FAIL")</x:f>
        <x:v>PASS</x:v>
      </x:c>
      <x:c r="G9" s="87" t="str">
        <x:v>Incorrect optimum</x:v>
      </x:c>
    </x:row>
    <x:row r="10">
      <x:c r="A10" s="87" t="str">
        <x:v>Optimized profit</x:v>
      </x:c>
      <x:c r="B10" s="110" t="n">
        <x:f>PROFIT</x:f>
        <x:v>42775.15538774221</x:v>
      </x:c>
      <x:c r="C10" s="110" t="n">
        <x:v>42762</x:v>
      </x:c>
      <x:c r="D10" s="110" t="n">
        <x:v>1</x:v>
      </x:c>
      <x:c r="E10" s="110" t="n">
        <x:f>ABS(B10-C10)</x:f>
        <x:v>13.155387742212042</x:v>
      </x:c>
      <x:c r="F10" s="87" t="str">
        <x:f>IF(E10&lt;=D10,"PASS","FAIL")</x:f>
        <x:v>FAIL</x:v>
      </x:c>
      <x:c r="G10" s="87" t="str">
        <x:v>Objective calculation error</x:v>
      </x:c>
    </x:row>
    <x:row r="11">
      <x:c r="A11" s="87" t="str">
        <x:v>Temporary workers</x:v>
      </x:c>
      <x:c r="B11" s="110" t="n">
        <x:f>TEMP_WORKERS</x:f>
        <x:v>3.164460309950149</x:v>
      </x:c>
      <x:c r="C11" s="110" t="n">
        <x:v>3.16</x:v>
      </x:c>
      <x:c r="D11" s="110" t="n">
        <x:v>0.01</x:v>
      </x:c>
      <x:c r="E11" s="110" t="n">
        <x:f>ABS(B11-C11)</x:f>
        <x:v>0.004460309950149011</x:v>
      </x:c>
      <x:c r="F11" s="87" t="str">
        <x:f>IF(E11&lt;=D11,"PASS","FAIL")</x:f>
        <x:v>PASS</x:v>
      </x:c>
      <x:c r="G11" s="87" t="str">
        <x:v>Labor-capacity error</x:v>
      </x:c>
    </x:row>
    <x:row r="12">
      <x:c r="A12" s="87" t="str">
        <x:v>Tomato crossing</x:v>
      </x:c>
      <x:c r="B12" s="110" t="n">
        <x:f>'Marginal Cost'!B40</x:f>
        <x:v>10</x:v>
      </x:c>
      <x:c r="C12" s="110" t="n">
        <x:v>10</x:v>
      </x:c>
      <x:c r="D12" s="110" t="n">
        <x:v>0</x:v>
      </x:c>
      <x:c r="E12" s="110" t="n">
        <x:f>ABS(B12-C12)</x:f>
        <x:v>0</x:v>
      </x:c>
      <x:c r="F12" s="87" t="str">
        <x:f>IF(E12&lt;=D12,"PASS","FAIL")</x:f>
        <x:v>PASS</x:v>
      </x:c>
      <x:c r="G12" s="87" t="str">
        <x:v>Crossing-rule error</x:v>
      </x:c>
    </x:row>
    <x:row r="13">
      <x:c r="A13" s="87" t="str">
        <x:v>Carrot crossing</x:v>
      </x:c>
      <x:c r="B13" s="110" t="n">
        <x:f>'Marginal Cost'!B41</x:f>
        <x:v>10</x:v>
      </x:c>
      <x:c r="C13" s="110" t="n">
        <x:v>10</x:v>
      </x:c>
      <x:c r="D13" s="110" t="n">
        <x:v>0</x:v>
      </x:c>
      <x:c r="E13" s="110" t="n">
        <x:f>ABS(B13-C13)</x:f>
        <x:v>0</x:v>
      </x:c>
      <x:c r="F13" s="87" t="str">
        <x:f>IF(E13&lt;=D13,"PASS","FAIL")</x:f>
        <x:v>PASS</x:v>
      </x:c>
      <x:c r="G13" s="87" t="str">
        <x:v>Crossing-rule error</x:v>
      </x:c>
    </x:row>
    <x:row r="14">
      <x:c r="A14" s="87" t="str">
        <x:v>Mesclun crossing</x:v>
      </x:c>
      <x:c r="B14" s="110" t="n">
        <x:f>'Marginal Cost'!B42</x:f>
        <x:v>6</x:v>
      </x:c>
      <x:c r="C14" s="110" t="n">
        <x:v>6</x:v>
      </x:c>
      <x:c r="D14" s="110" t="n">
        <x:v>0</x:v>
      </x:c>
      <x:c r="E14" s="110" t="n">
        <x:f>ABS(B14-C14)</x:f>
        <x:v>0</x:v>
      </x:c>
      <x:c r="F14" s="87" t="str">
        <x:f>IF(E14&lt;=D14,"PASS","FAIL")</x:f>
        <x:v>PASS</x:v>
      </x:c>
      <x:c r="G14" s="87" t="str">
        <x:v>Crossing-rule error</x:v>
      </x:c>
    </x:row>
    <x:row r="15">
      <x:c r="A15" s="87" t="str">
        <x:v>Tomato MC at bed 10</x:v>
      </x:c>
      <x:c r="B15" s="110" t="n">
        <x:f>'Marginal Cost'!E16</x:f>
        <x:v>8248.114944836801</x:v>
      </x:c>
      <x:c r="C15" s="110" t="n">
        <x:v>8249</x:v>
      </x:c>
      <x:c r="D15" s="110" t="n">
        <x:v>1</x:v>
      </x:c>
      <x:c r="E15" s="110" t="n">
        <x:f>ABS(B15-C15)</x:f>
        <x:v>0.8850551631985581</x:v>
      </x:c>
      <x:c r="F15" s="87" t="str">
        <x:f>IF(E15&lt;=D15,"PASS","FAIL")</x:f>
        <x:v>PASS</x:v>
      </x:c>
      <x:c r="G15" s="87" t="str">
        <x:v>Marginal-cost schedule error</x:v>
      </x:c>
    </x:row>
    <x:row r="16">
      <x:c r="A16" s="87" t="str">
        <x:v>Tomato MC at bed 11</x:v>
      </x:c>
      <x:c r="B16" s="110" t="n">
        <x:f>'Marginal Cost'!E17</x:f>
        <x:v>9390.172761286514</x:v>
      </x:c>
      <x:c r="C16" s="110" t="n">
        <x:v>9391</x:v>
      </x:c>
      <x:c r="D16" s="110" t="n">
        <x:v>1</x:v>
      </x:c>
      <x:c r="E16" s="110" t="n">
        <x:f>ABS(B16-C16)</x:f>
        <x:v>0.8272387134857127</x:v>
      </x:c>
      <x:c r="F16" s="87" t="str">
        <x:f>IF(E16&lt;=D16,"PASS","FAIL")</x:f>
        <x:v>PASS</x:v>
      </x:c>
      <x:c r="G16" s="87" t="str">
        <x:v>Marginal-cost schedule error</x:v>
      </x:c>
    </x:row>
    <x:row r="17">
      <x:c r="A17" s="91" t="str">
        <x:v>Crop labor allocation</x:v>
      </x:c>
      <x:c r="B17" s="112" t="n">
        <x:f>ABS(SUM('Cost Structure'!E4:E6)-LABOR_COST)</x:f>
        <x:v>1.4551915228366852e-11</x:v>
      </x:c>
      <x:c r="C17" s="112" t="n">
        <x:v>0</x:v>
      </x:c>
      <x:c r="D17" s="112" t="n">
        <x:v>0.01</x:v>
      </x:c>
      <x:c r="E17" s="112" t="n">
        <x:f>ABS(B17-C17)</x:f>
        <x:v>1.4551915228366852e-11</x:v>
      </x:c>
      <x:c r="F17" s="91" t="str">
        <x:f>IF(E17&lt;=D17,"PASS","FAIL")</x:f>
        <x:v>PASS</x:v>
      </x:c>
      <x:c r="G17" s="91" t="str">
        <x:v>Crop allocations do not reconcile</x:v>
      </x:c>
    </x:row>
    <x:row r="18">
      <x:c r="A18" s="83"/>
      <x:c r="B18" s="83"/>
      <x:c r="C18" s="83"/>
      <x:c r="D18" s="83"/>
      <x:c r="E18" s="83"/>
      <x:c r="F18" s="83"/>
      <x:c r="G18" s="83"/>
    </x:row>
    <x:row r="19">
      <x:c r="A19" s="83"/>
      <x:c r="B19" s="83"/>
      <x:c r="C19" s="83"/>
      <x:c r="D19" s="83"/>
      <x:c r="E19" s="83"/>
      <x:c r="F19" s="83"/>
      <x:c r="G19" s="83"/>
    </x:row>
    <x:row r="20">
      <x:c r="A20" s="113" t="str">
        <x:v>Constraint checks (actual, limit, slack, and status are formulas)</x:v>
      </x:c>
      <x:c r="B20" s="114"/>
      <x:c r="C20" s="114"/>
      <x:c r="D20" s="114"/>
      <x:c r="E20" s="114"/>
      <x:c r="F20" s="114"/>
      <x:c r="G20" s="115"/>
    </x:row>
    <x:row r="21">
      <x:c r="A21" s="83"/>
      <x:c r="B21" s="83"/>
      <x:c r="C21" s="83"/>
      <x:c r="D21" s="83"/>
      <x:c r="E21" s="83"/>
      <x:c r="F21" s="83"/>
      <x:c r="G21" s="83"/>
    </x:row>
    <x:row r="22">
      <x:c r="A22" s="84" t="str">
        <x:v>Constraint</x:v>
      </x:c>
      <x:c r="B22" s="84" t="str">
        <x:v>Actual</x:v>
      </x:c>
      <x:c r="C22" s="84" t="str">
        <x:v>Limit</x:v>
      </x:c>
      <x:c r="D22" s="84" t="str">
        <x:v>Slack</x:v>
      </x:c>
      <x:c r="E22" s="84" t="str">
        <x:v>Status</x:v>
      </x:c>
      <x:c r="F22" s="83"/>
      <x:c r="G22" s="83"/>
    </x:row>
    <x:row r="23">
      <x:c r="A23" s="83" t="str">
        <x:f>'Optimization'!A14</x:f>
        <x:v>Total beds</x:v>
      </x:c>
      <x:c r="B23" s="83" t="n">
        <x:f>'Optimization'!B14</x:f>
        <x:v>60</x:v>
      </x:c>
      <x:c r="C23" s="83" t="n">
        <x:f>'Optimization'!C14</x:f>
        <x:v>64</x:v>
      </x:c>
      <x:c r="D23" s="83" t="n">
        <x:f>'Optimization'!D14</x:f>
        <x:v>4</x:v>
      </x:c>
      <x:c r="E23" s="83" t="str">
        <x:f>'Optimization'!E14</x:f>
        <x:v>PASS</x:v>
      </x:c>
      <x:c r="F23" s="83"/>
      <x:c r="G23" s="83"/>
    </x:row>
    <x:row r="24">
      <x:c r="A24" s="83" t="str">
        <x:f>'Optimization'!A15</x:f>
        <x:v>Tomato beds</x:v>
      </x:c>
      <x:c r="B24" s="83" t="n">
        <x:f>'Optimization'!B15</x:f>
        <x:v>10</x:v>
      </x:c>
      <x:c r="C24" s="83" t="n">
        <x:f>'Optimization'!C15</x:f>
        <x:v>20</x:v>
      </x:c>
      <x:c r="D24" s="83" t="n">
        <x:f>'Optimization'!D15</x:f>
        <x:v>10</x:v>
      </x:c>
      <x:c r="E24" s="83" t="str">
        <x:f>'Optimization'!E15</x:f>
        <x:v>PASS</x:v>
      </x:c>
      <x:c r="F24" s="83"/>
      <x:c r="G24" s="83"/>
    </x:row>
    <x:row r="25">
      <x:c r="A25" s="83" t="str">
        <x:f>'Optimization'!A16</x:f>
        <x:v>Carrot beds</x:v>
      </x:c>
      <x:c r="B25" s="83" t="n">
        <x:f>'Optimization'!B16</x:f>
        <x:v>20</x:v>
      </x:c>
      <x:c r="C25" s="83" t="n">
        <x:f>'Optimization'!C16</x:f>
        <x:v>20</x:v>
      </x:c>
      <x:c r="D25" s="83" t="n">
        <x:f>'Optimization'!D16</x:f>
        <x:v>0</x:v>
      </x:c>
      <x:c r="E25" s="83" t="str">
        <x:f>'Optimization'!E16</x:f>
        <x:v>PASS</x:v>
      </x:c>
      <x:c r="F25" s="83"/>
      <x:c r="G25" s="83"/>
    </x:row>
    <x:row r="26">
      <x:c r="A26" s="83" t="str">
        <x:f>'Optimization'!A17</x:f>
        <x:v>Mesclun beds</x:v>
      </x:c>
      <x:c r="B26" s="83" t="n">
        <x:f>'Optimization'!B17</x:f>
        <x:v>30</x:v>
      </x:c>
      <x:c r="C26" s="83" t="n">
        <x:f>'Optimization'!C17</x:f>
        <x:v>30</x:v>
      </x:c>
      <x:c r="D26" s="83" t="n">
        <x:f>'Optimization'!D17</x:f>
        <x:v>0</x:v>
      </x:c>
      <x:c r="E26" s="83" t="str">
        <x:f>'Optimization'!E17</x:f>
        <x:v>PASS</x:v>
      </x:c>
      <x:c r="F26" s="83"/>
      <x:c r="G26" s="83"/>
    </x:row>
    <x:row r="27">
      <x:c r="A27" s="83" t="str">
        <x:f>'Optimization'!A18</x:f>
        <x:v>Temporary workers</x:v>
      </x:c>
      <x:c r="B27" s="83" t="n">
        <x:f>'Optimization'!B18</x:f>
        <x:v>3.164460309950149</x:v>
      </x:c>
      <x:c r="C27" s="83" t="n">
        <x:f>'Optimization'!C18</x:f>
        <x:v>4</x:v>
      </x:c>
      <x:c r="D27" s="83" t="n">
        <x:f>'Optimization'!D18</x:f>
        <x:v>0.8355396900498508</x:v>
      </x:c>
      <x:c r="E27" s="83" t="str">
        <x:f>'Optimization'!E18</x:f>
        <x:v>PASS</x:v>
      </x:c>
      <x:c r="F27" s="83"/>
      <x:c r="G27" s="83"/>
    </x:row>
    <x:row r="28">
      <x:c r="A28" s="83"/>
      <x:c r="B28" s="83"/>
      <x:c r="C28" s="83"/>
      <x:c r="D28" s="83"/>
      <x:c r="E28" s="83"/>
      <x:c r="F28" s="83"/>
      <x:c r="G28" s="83"/>
    </x:row>
    <x:row r="29">
      <x:c r="A29" s="83"/>
      <x:c r="B29" s="83"/>
      <x:c r="C29" s="83"/>
      <x:c r="D29" s="83"/>
      <x:c r="E29" s="83"/>
      <x:c r="F29" s="83"/>
      <x:c r="G29" s="83"/>
    </x:row>
    <x:row r="30">
      <x:c r="A30" s="113" t="str">
        <x:v>Solver starting-point results</x:v>
      </x:c>
      <x:c r="B30" s="114"/>
      <x:c r="C30" s="114"/>
      <x:c r="D30" s="114"/>
      <x:c r="E30" s="114"/>
      <x:c r="F30" s="114"/>
      <x:c r="G30" s="115"/>
    </x:row>
    <x:row r="31">
      <x:c r="A31" s="83"/>
      <x:c r="B31" s="83"/>
      <x:c r="C31" s="83"/>
      <x:c r="D31" s="83"/>
      <x:c r="E31" s="83"/>
      <x:c r="F31" s="83"/>
      <x:c r="G31" s="83"/>
    </x:row>
    <x:row r="32">
      <x:c r="A32" s="84" t="str">
        <x:v>Start</x:v>
      </x:c>
      <x:c r="B32" s="84" t="str">
        <x:v>Tomato result</x:v>
      </x:c>
      <x:c r="C32" s="84" t="str">
        <x:v>Carrot result</x:v>
      </x:c>
      <x:c r="D32" s="84" t="str">
        <x:v>Mesclun result</x:v>
      </x:c>
      <x:c r="E32" s="84" t="str">
        <x:v>Profit</x:v>
      </x:c>
      <x:c r="F32" s="84" t="str">
        <x:v>Feasible</x:v>
      </x:c>
      <x:c r="G32" s="84" t="str">
        <x:v>Selected</x:v>
      </x:c>
    </x:row>
    <x:row r="33">
      <x:c r="A33" s="83" t="str">
        <x:v>0/0/0</x:v>
      </x:c>
      <x:c r="B33" s="83" t="n">
        <x:f>TOMATO_BEDS</x:f>
        <x:v>10</x:v>
      </x:c>
      <x:c r="C33" s="83" t="n">
        <x:f>CARROT_BEDS</x:f>
        <x:v>20</x:v>
      </x:c>
      <x:c r="D33" s="83" t="n">
        <x:f>MESCLUN_BEDS</x:f>
        <x:v>30</x:v>
      </x:c>
      <x:c r="E33" s="148" t="n">
        <x:f>PROFIT</x:f>
        <x:v>42775.15538774221</x:v>
      </x:c>
      <x:c r="F33" s="83" t="str">
        <x:f>IF(COUNTIF(E23:E27,"FAIL")=0,"YES","NO")</x:f>
        <x:v>YES</x:v>
      </x:c>
      <x:c r="G33" s="83" t="str">
        <x:f>IF(AND(F33="YES",E33=MAX(E33:E34)),"SELECTED","")</x:f>
        <x:v>SELECTED</x:v>
      </x:c>
    </x:row>
    <x:row r="34">
      <x:c r="A34" s="83" t="str">
        <x:v>20/0/0</x:v>
      </x:c>
      <x:c r="B34" s="83" t="n">
        <x:f>TOMATO_BEDS</x:f>
        <x:v>10</x:v>
      </x:c>
      <x:c r="C34" s="83" t="n">
        <x:f>CARROT_BEDS</x:f>
        <x:v>20</x:v>
      </x:c>
      <x:c r="D34" s="83" t="n">
        <x:f>MESCLUN_BEDS</x:f>
        <x:v>30</x:v>
      </x:c>
      <x:c r="E34" s="148" t="n">
        <x:f>PROFIT</x:f>
        <x:v>42775.15538774221</x:v>
      </x:c>
      <x:c r="F34" s="83" t="str">
        <x:f>IF(COUNTIF(E23:E27,"FAIL")=0,"YES","NO")</x:f>
        <x:v>YES</x:v>
      </x:c>
      <x:c r="G34" s="83" t="str">
        <x:f>IF(AND(F34="YES",E34=MAX(E33:E34),G33&lt;&gt;"SELECTED"),"SELECTED","")</x:f>
      </x:c>
    </x:row>
    <x:row r="35">
      <x:c r="A35" s="83"/>
      <x:c r="B35" s="83"/>
      <x:c r="C35" s="83"/>
      <x:c r="D35" s="83"/>
      <x:c r="E35" s="83"/>
      <x:c r="F35" s="83"/>
      <x:c r="G35" s="83"/>
    </x:row>
    <x:row r="36">
      <x:c r="A36" s="83"/>
      <x:c r="B36" s="83"/>
      <x:c r="C36" s="83"/>
      <x:c r="D36" s="83"/>
      <x:c r="E36" s="83"/>
      <x:c r="F36" s="83"/>
      <x:c r="G36" s="83"/>
    </x:row>
    <x:row r="37">
      <x:c r="A37" s="149" t="str">
        <x:v>Overall acceptance status</x:v>
      </x:c>
      <x:c r="B37" s="150" t="str">
        <x:f>IF(COUNTIF(F4:F17,"FAIL")+COUNTIF(E23:E27,"FAIL")=0,"PASS","FAIL")</x:f>
        <x:v>FAIL</x:v>
      </x:c>
      <x:c r="C37" s="83"/>
      <x:c r="D37" s="83"/>
      <x:c r="E37" s="83"/>
      <x:c r="F37" s="83"/>
      <x:c r="G37" s="83"/>
    </x:row>
    <x:row r="38">
      <x:c r="A38" s="83"/>
      <x:c r="B38" s="83"/>
      <x:c r="C38" s="83"/>
      <x:c r="D38" s="83"/>
      <x:c r="E38" s="83"/>
      <x:c r="F38" s="83"/>
      <x:c r="G38" s="83"/>
    </x:row>
    <x:row r="39">
      <x:c r="A39" s="113" t="str">
        <x:v>Audit finding — published profit check</x:v>
      </x:c>
      <x:c r="B39" s="114"/>
      <x:c r="C39" s="114"/>
      <x:c r="D39" s="114"/>
      <x:c r="E39" s="114"/>
      <x:c r="F39" s="114"/>
      <x:c r="G39" s="115"/>
    </x:row>
    <x:row r="40" ht="28" customHeight="1">
      <x:c r="A40" s="151" t="str">
        <x:v>Using the published inputs exactly, the model calculates profit of $42,775.16, which differs from the published check figure of $42,762 by $13.16.</x:v>
      </x:c>
      <x:c r="B40" s="152"/>
      <x:c r="C40" s="152"/>
      <x:c r="D40" s="152"/>
      <x:c r="E40" s="152"/>
      <x:c r="F40" s="152"/>
      <x:c r="G40" s="153"/>
    </x:row>
    <x:row r="41" ht="28" customHeight="1">
      <x:c r="A41" s="154" t="str">
        <x:v>A carrot price of approximately $2,093.34 reproduces the check figure, suggesting the published result may use an unrounded underlying input.</x:v>
      </x:c>
      <x:c r="B41" s="155"/>
      <x:c r="C41" s="155"/>
      <x:c r="D41" s="155"/>
      <x:c r="E41" s="155"/>
      <x:c r="F41" s="155"/>
      <x:c r="G41" s="156"/>
    </x:row>
  </x:sheetData>
  <x:mergeCells>
    <x:mergeCell ref="A1:G1"/>
    <x:mergeCell ref="A20:G20"/>
    <x:mergeCell ref="A30:G30"/>
    <x:mergeCell ref="A39:G39"/>
    <x:mergeCell ref="A40:G40"/>
    <x:mergeCell ref="A41:G41"/>
  </x:mergeCells>
  <x:pageMargins left="0.7" right="0.7" top="0.75" bottom="0.75" header="0.3" footer="0.3"/>
</x:worksheet>
</file>